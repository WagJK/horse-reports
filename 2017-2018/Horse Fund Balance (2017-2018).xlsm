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"/>
    </mc:Choice>
  </mc:AlternateContent>
  <bookViews>
    <workbookView xWindow="5025" yWindow="-30" windowWidth="5025" windowHeight="7680" tabRatio="565"/>
  </bookViews>
  <sheets>
    <sheet name="Fund" sheetId="1" r:id="rId1"/>
  </sheets>
  <calcPr calcId="171027"/>
</workbook>
</file>

<file path=xl/calcChain.xml><?xml version="1.0" encoding="utf-8"?>
<calcChain xmlns="http://schemas.openxmlformats.org/spreadsheetml/2006/main">
  <c r="I1" i="1" l="1"/>
  <c r="E90" i="1"/>
  <c r="C90" i="1"/>
  <c r="C89" i="1" l="1"/>
  <c r="E89" i="1"/>
  <c r="E88" i="1" l="1"/>
  <c r="C88" i="1"/>
  <c r="E87" i="1" l="1"/>
  <c r="C87" i="1"/>
  <c r="E86" i="1" l="1"/>
  <c r="C86" i="1"/>
  <c r="E85" i="1" l="1"/>
  <c r="C85" i="1"/>
  <c r="E84" i="1" l="1"/>
  <c r="C84" i="1"/>
  <c r="C82" i="1"/>
  <c r="E83" i="1" l="1"/>
  <c r="C83" i="1" l="1"/>
  <c r="E82" i="1" l="1"/>
  <c r="E81" i="1" l="1"/>
  <c r="C81" i="1"/>
  <c r="E80" i="1" l="1"/>
  <c r="C80" i="1"/>
  <c r="E79" i="1" l="1"/>
  <c r="C79" i="1"/>
  <c r="E78" i="1" l="1"/>
  <c r="C78" i="1"/>
  <c r="E77" i="1" l="1"/>
  <c r="C77" i="1" l="1"/>
  <c r="E76" i="1" l="1"/>
  <c r="C76" i="1"/>
  <c r="E75" i="1" l="1"/>
  <c r="C75" i="1"/>
  <c r="E74" i="1" l="1"/>
  <c r="C74" i="1"/>
  <c r="E73" i="1" l="1"/>
  <c r="C73" i="1"/>
  <c r="E72" i="1" l="1"/>
  <c r="C72" i="1"/>
  <c r="E71" i="1" l="1"/>
  <c r="C71" i="1"/>
  <c r="C70" i="1" l="1"/>
  <c r="E70" i="1"/>
  <c r="E69" i="1" l="1"/>
  <c r="C69" i="1"/>
  <c r="E68" i="1" l="1"/>
  <c r="C68" i="1"/>
  <c r="C67" i="1" l="1"/>
  <c r="E67" i="1" l="1"/>
  <c r="E66" i="1" l="1"/>
  <c r="C66" i="1"/>
  <c r="E65" i="1" l="1"/>
  <c r="C65" i="1"/>
  <c r="E64" i="1" l="1"/>
  <c r="C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 l="1"/>
  <c r="E57" i="1" l="1"/>
  <c r="C57" i="1"/>
  <c r="E56" i="1" l="1"/>
  <c r="C56" i="1"/>
  <c r="E55" i="1" l="1"/>
  <c r="C55" i="1"/>
  <c r="C54" i="1" l="1"/>
  <c r="E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 l="1"/>
  <c r="E46" i="1" l="1"/>
  <c r="C46" i="1"/>
  <c r="E45" i="1" l="1"/>
  <c r="C45" i="1"/>
  <c r="E44" i="1" l="1"/>
  <c r="C44" i="1"/>
  <c r="E43" i="1" l="1"/>
  <c r="C43" i="1"/>
  <c r="E42" i="1" l="1"/>
  <c r="C42" i="1"/>
  <c r="E41" i="1"/>
  <c r="C41" i="1" l="1"/>
  <c r="E40" i="1" l="1"/>
  <c r="C40" i="1"/>
  <c r="E39" i="1" l="1"/>
  <c r="C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/>
  <c r="E32" i="1" l="1"/>
  <c r="C32" i="1"/>
  <c r="E31" i="1" l="1"/>
  <c r="C31" i="1"/>
  <c r="E30" i="1" l="1"/>
  <c r="C30" i="1"/>
  <c r="C29" i="1" l="1"/>
  <c r="E29" i="1"/>
  <c r="E28" i="1" l="1"/>
  <c r="C28" i="1"/>
  <c r="E27" i="1" l="1"/>
  <c r="C27" i="1"/>
  <c r="E26" i="1" l="1"/>
  <c r="C26" i="1"/>
  <c r="E25" i="1" l="1"/>
  <c r="C25" i="1"/>
  <c r="E24" i="1" l="1"/>
  <c r="C24" i="1"/>
  <c r="C23" i="1" l="1"/>
  <c r="E23" i="1"/>
  <c r="E22" i="1" l="1"/>
  <c r="C22" i="1"/>
  <c r="E20" i="1" l="1"/>
  <c r="C20" i="1"/>
  <c r="C21" i="1"/>
  <c r="E21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s="1"/>
  <c r="F16" i="1" l="1"/>
  <c r="F17" i="1" l="1"/>
  <c r="F18" i="1" l="1"/>
  <c r="F19" i="1" l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s="1"/>
  <c r="F43" i="1" l="1"/>
  <c r="F44" i="1" l="1"/>
  <c r="F45" i="1" l="1"/>
  <c r="F46" i="1" l="1"/>
  <c r="F47" i="1" l="1"/>
  <c r="F48" i="1" l="1"/>
  <c r="F49" i="1" s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s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  <c r="F90" i="1" l="1"/>
</calcChain>
</file>

<file path=xl/sharedStrings.xml><?xml version="1.0" encoding="utf-8"?>
<sst xmlns="http://schemas.openxmlformats.org/spreadsheetml/2006/main" count="100" uniqueCount="53">
  <si>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</si>
  <si>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</si>
  <si>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</si>
  <si>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</si>
  <si>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</si>
  <si>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</si>
  <si>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</si>
  <si>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</si>
  <si>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1P-2L</t>
  </si>
  <si>
    <t>1W-2P-1L</t>
  </si>
  <si>
    <t>1W-1P-2L</t>
  </si>
  <si>
    <t>1L</t>
  </si>
  <si>
    <t>1P-1L</t>
  </si>
  <si>
    <t>1W-2L</t>
    <phoneticPr fontId="2" type="noConversion"/>
  </si>
  <si>
    <t>1W-1L</t>
  </si>
  <si>
    <t xml:space="preserve">1P-1PQ-1L </t>
  </si>
  <si>
    <t>3L</t>
  </si>
  <si>
    <t>2L</t>
  </si>
  <si>
    <t>1W-1P-1Queue-2L</t>
  </si>
  <si>
    <t>1P-5L</t>
  </si>
  <si>
    <t>2P-1L</t>
  </si>
  <si>
    <t>1W-1P-1L</t>
  </si>
  <si>
    <t>5L</t>
  </si>
  <si>
    <t>1P-1PQ-2L</t>
  </si>
  <si>
    <t>1W-3L</t>
  </si>
  <si>
    <t>2P-2L</t>
  </si>
  <si>
    <t>1P-4L</t>
  </si>
  <si>
    <t>2W-1P-2L</t>
  </si>
  <si>
    <t>2P-1PQ-2L</t>
  </si>
  <si>
    <t>3P-1PQ</t>
  </si>
  <si>
    <t>1P-3L</t>
  </si>
  <si>
    <t>1P-1Queue-2L</t>
  </si>
  <si>
    <t>1W-2P-1PQ-1L</t>
  </si>
  <si>
    <t xml:space="preserve">1W-3P-1Queue-1PQ-1L </t>
  </si>
  <si>
    <t>2P-1Queue-2L</t>
  </si>
  <si>
    <t>1W-4L</t>
  </si>
  <si>
    <t>4P-2L</t>
  </si>
  <si>
    <t>1W-1Queue-3L</t>
  </si>
  <si>
    <t>2W-1P-1Queue-1PQ-3L</t>
  </si>
  <si>
    <t>2W-1P-3L</t>
  </si>
  <si>
    <t>2W-3P-1Queue-1L</t>
  </si>
  <si>
    <t>1W-1P-3L</t>
  </si>
  <si>
    <t>2W-1P-1L</t>
  </si>
  <si>
    <t>2P-1PQ-3L</t>
  </si>
  <si>
    <t>4P-1Queue-1PQ-3L</t>
  </si>
  <si>
    <t>1W-3P-1L</t>
  </si>
  <si>
    <t>4L</t>
  </si>
  <si>
    <t>1W-2L</t>
  </si>
  <si>
    <t>2P-1PQ-1L</t>
  </si>
  <si>
    <t>1W-1P</t>
  </si>
  <si>
    <t>1P</t>
  </si>
  <si>
    <t>1P-1PQ-1L</t>
  </si>
  <si>
    <t>1W-1P-1PQ-1L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</si>
</sst>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01567195404921"/>
          <c:y val="0.1698611416589686"/>
          <c:w val="0.69188101487314091"/>
          <c:h val="0.5103004829022705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Fund!$A$2:$A$90</c:f>
              <c:strCache>
                <c:ptCount val="89"/>
                <c:pt idx="0">
                  <c:v>-</c:v>
                </c:pt>
                <c:pt idx="1">
                  <c:v>2017/9/3</c:v>
                </c:pt>
                <c:pt idx="2">
                  <c:v>2017/9/6</c:v>
                </c:pt>
                <c:pt idx="3">
                  <c:v>2017/9/10</c:v>
                </c:pt>
                <c:pt idx="4">
                  <c:v>2017/9/13</c:v>
                </c:pt>
                <c:pt idx="5">
                  <c:v>2017/9/16</c:v>
                </c:pt>
                <c:pt idx="6">
                  <c:v>2017/9/20</c:v>
                </c:pt>
                <c:pt idx="7">
                  <c:v>2017/9/24</c:v>
                </c:pt>
                <c:pt idx="8">
                  <c:v>2017/9/27</c:v>
                </c:pt>
                <c:pt idx="9">
                  <c:v>2017/10/1</c:v>
                </c:pt>
                <c:pt idx="10">
                  <c:v>2017/10/5</c:v>
                </c:pt>
                <c:pt idx="11">
                  <c:v>2017/10/8</c:v>
                </c:pt>
                <c:pt idx="12">
                  <c:v>2017/10/11</c:v>
                </c:pt>
                <c:pt idx="13">
                  <c:v>2017/10/14</c:v>
                </c:pt>
                <c:pt idx="14">
                  <c:v>2017/10/18</c:v>
                </c:pt>
                <c:pt idx="15">
                  <c:v>2017/10/22</c:v>
                </c:pt>
                <c:pt idx="16">
                  <c:v>2017/10/25</c:v>
                </c:pt>
                <c:pt idx="17">
                  <c:v>2017/10/29</c:v>
                </c:pt>
                <c:pt idx="18">
                  <c:v>2017/11/1</c:v>
                </c:pt>
                <c:pt idx="19">
                  <c:v>2017/11/5</c:v>
                </c:pt>
                <c:pt idx="20">
                  <c:v>2017/11/8</c:v>
                </c:pt>
                <c:pt idx="21">
                  <c:v>2017/11/11</c:v>
                </c:pt>
                <c:pt idx="22">
                  <c:v>2017/11/15</c:v>
                </c:pt>
                <c:pt idx="23">
                  <c:v>2017/11/19</c:v>
                </c:pt>
                <c:pt idx="24">
                  <c:v>2017/11/22</c:v>
                </c:pt>
                <c:pt idx="25">
                  <c:v>2017/11/26</c:v>
                </c:pt>
                <c:pt idx="26">
                  <c:v>2017/11/29</c:v>
                </c:pt>
                <c:pt idx="27">
                  <c:v>2017/12/3</c:v>
                </c:pt>
                <c:pt idx="28">
                  <c:v>2017/12/6</c:v>
                </c:pt>
                <c:pt idx="29">
                  <c:v>2017/12/10</c:v>
                </c:pt>
                <c:pt idx="30">
                  <c:v>2017/12/13</c:v>
                </c:pt>
                <c:pt idx="31">
                  <c:v>2017/12/17</c:v>
                </c:pt>
                <c:pt idx="32">
                  <c:v>2017/12/20</c:v>
                </c:pt>
                <c:pt idx="33">
                  <c:v>2017/12/23</c:v>
                </c:pt>
                <c:pt idx="34">
                  <c:v>2017/12/27</c:v>
                </c:pt>
                <c:pt idx="35">
                  <c:v>2018/1/1</c:v>
                </c:pt>
                <c:pt idx="36">
                  <c:v>2018/1/7</c:v>
                </c:pt>
                <c:pt idx="37">
                  <c:v>2018/1/10</c:v>
                </c:pt>
                <c:pt idx="38">
                  <c:v>2018/1/13</c:v>
                </c:pt>
                <c:pt idx="39">
                  <c:v>2018/1/17</c:v>
                </c:pt>
                <c:pt idx="40">
                  <c:v>2018/1/21</c:v>
                </c:pt>
                <c:pt idx="41">
                  <c:v>2018/1/24</c:v>
                </c:pt>
                <c:pt idx="42">
                  <c:v>2018/1/28</c:v>
                </c:pt>
                <c:pt idx="43">
                  <c:v>2018/1/31</c:v>
                </c:pt>
                <c:pt idx="44">
                  <c:v>2018/2/4</c:v>
                </c:pt>
                <c:pt idx="45">
                  <c:v>2018/2/7</c:v>
                </c:pt>
                <c:pt idx="46">
                  <c:v>2018/2/10</c:v>
                </c:pt>
                <c:pt idx="47">
                  <c:v>2018/2/14</c:v>
                </c:pt>
                <c:pt idx="48">
                  <c:v>2018/2/18</c:v>
                </c:pt>
                <c:pt idx="49">
                  <c:v>2018/2/21</c:v>
                </c:pt>
                <c:pt idx="50">
                  <c:v>2018/2/25</c:v>
                </c:pt>
                <c:pt idx="51">
                  <c:v>2018/2/28</c:v>
                </c:pt>
                <c:pt idx="52">
                  <c:v>2018/3/3</c:v>
                </c:pt>
                <c:pt idx="53">
                  <c:v>2018/3/7</c:v>
                </c:pt>
                <c:pt idx="54">
                  <c:v>2018/3/11</c:v>
                </c:pt>
                <c:pt idx="55">
                  <c:v>2018/3/14</c:v>
                </c:pt>
                <c:pt idx="56">
                  <c:v>2018/3/18</c:v>
                </c:pt>
                <c:pt idx="57">
                  <c:v>2018/3/21</c:v>
                </c:pt>
                <c:pt idx="58">
                  <c:v>2018/3/25</c:v>
                </c:pt>
                <c:pt idx="59">
                  <c:v>2018/3/28</c:v>
                </c:pt>
                <c:pt idx="60">
                  <c:v>2018/4/2</c:v>
                </c:pt>
                <c:pt idx="61">
                  <c:v>2018/4/8</c:v>
                </c:pt>
                <c:pt idx="62">
                  <c:v>2018/4/11</c:v>
                </c:pt>
                <c:pt idx="63">
                  <c:v>2018/4/15</c:v>
                </c:pt>
                <c:pt idx="64">
                  <c:v>2018/4/18</c:v>
                </c:pt>
                <c:pt idx="65">
                  <c:v>2018/4/21</c:v>
                </c:pt>
                <c:pt idx="66">
                  <c:v>2018/4/25</c:v>
                </c:pt>
                <c:pt idx="67">
                  <c:v>2018/4/29</c:v>
                </c:pt>
                <c:pt idx="68">
                  <c:v>2018/5/2</c:v>
                </c:pt>
                <c:pt idx="69">
                  <c:v>2018/5/6</c:v>
                </c:pt>
                <c:pt idx="70">
                  <c:v>2018/5/9</c:v>
                </c:pt>
                <c:pt idx="71">
                  <c:v>2018/5/12</c:v>
                </c:pt>
                <c:pt idx="72">
                  <c:v>2018/5/16</c:v>
                </c:pt>
                <c:pt idx="73">
                  <c:v>2018/5/20</c:v>
                </c:pt>
                <c:pt idx="74">
                  <c:v>2018/5/23</c:v>
                </c:pt>
                <c:pt idx="75">
                  <c:v>2018/5/27</c:v>
                </c:pt>
                <c:pt idx="76">
                  <c:v>2018/5/30</c:v>
                </c:pt>
                <c:pt idx="77">
                  <c:v>2018/6/3</c:v>
                </c:pt>
                <c:pt idx="78">
                  <c:v>2018/6/6</c:v>
                </c:pt>
                <c:pt idx="79">
                  <c:v>2018/6/10</c:v>
                </c:pt>
                <c:pt idx="80">
                  <c:v>2018/6/13</c:v>
                </c:pt>
                <c:pt idx="81">
                  <c:v>2018/6/16</c:v>
                </c:pt>
                <c:pt idx="82">
                  <c:v>2018/6/24</c:v>
                </c:pt>
                <c:pt idx="83">
                  <c:v>2018/6/27</c:v>
                </c:pt>
                <c:pt idx="84">
                  <c:v>2018/7/1</c:v>
                </c:pt>
                <c:pt idx="85">
                  <c:v>2018/7/4</c:v>
                </c:pt>
                <c:pt idx="86">
                  <c:v>2018/7/8</c:v>
                </c:pt>
                <c:pt idx="87">
                  <c:v>2018/7/11</c:v>
                </c:pt>
                <c:pt idx="88">
                  <c:v>2018/7/15</c:v>
                </c:pt>
              </c:strCache>
            </c:strRef>
          </c:cat>
          <c:val>
            <c:numRef>
              <c:f>Fund!$F$2:$F$90</c:f>
              <c:numCache>
                <c:formatCode>General</c:formatCode>
                <c:ptCount val="89"/>
                <c:pt idx="0">
                  <c:v>12000000</c:v>
                </c:pt>
                <c:pt idx="1">
                  <c:v>11644500</c:v>
                </c:pt>
                <c:pt idx="2">
                  <c:v>11838000</c:v>
                </c:pt>
                <c:pt idx="3">
                  <c:v>12081000</c:v>
                </c:pt>
                <c:pt idx="4">
                  <c:v>11919000</c:v>
                </c:pt>
                <c:pt idx="5">
                  <c:v>12312750</c:v>
                </c:pt>
                <c:pt idx="6">
                  <c:v>12227250</c:v>
                </c:pt>
                <c:pt idx="7">
                  <c:v>12074250</c:v>
                </c:pt>
                <c:pt idx="8">
                  <c:v>12081000</c:v>
                </c:pt>
                <c:pt idx="9">
                  <c:v>12394500</c:v>
                </c:pt>
                <c:pt idx="10">
                  <c:v>11800500</c:v>
                </c:pt>
                <c:pt idx="11">
                  <c:v>11314500</c:v>
                </c:pt>
                <c:pt idx="12">
                  <c:v>11664750</c:v>
                </c:pt>
                <c:pt idx="13">
                  <c:v>11340750</c:v>
                </c:pt>
                <c:pt idx="14">
                  <c:v>10519500</c:v>
                </c:pt>
                <c:pt idx="15">
                  <c:v>10632000</c:v>
                </c:pt>
                <c:pt idx="16">
                  <c:v>11435250</c:v>
                </c:pt>
                <c:pt idx="17">
                  <c:v>11424000</c:v>
                </c:pt>
                <c:pt idx="18">
                  <c:v>11243100</c:v>
                </c:pt>
                <c:pt idx="19">
                  <c:v>10227900</c:v>
                </c:pt>
                <c:pt idx="20">
                  <c:v>9980300</c:v>
                </c:pt>
                <c:pt idx="21">
                  <c:v>9533900</c:v>
                </c:pt>
                <c:pt idx="22">
                  <c:v>9252500</c:v>
                </c:pt>
                <c:pt idx="23">
                  <c:v>10298300</c:v>
                </c:pt>
                <c:pt idx="24">
                  <c:v>9700700</c:v>
                </c:pt>
                <c:pt idx="25">
                  <c:v>9045500</c:v>
                </c:pt>
                <c:pt idx="26">
                  <c:v>9173000</c:v>
                </c:pt>
                <c:pt idx="27">
                  <c:v>9027700</c:v>
                </c:pt>
                <c:pt idx="28">
                  <c:v>8407700</c:v>
                </c:pt>
                <c:pt idx="29">
                  <c:v>8662400</c:v>
                </c:pt>
                <c:pt idx="30">
                  <c:v>9625200</c:v>
                </c:pt>
                <c:pt idx="31">
                  <c:v>10772600</c:v>
                </c:pt>
                <c:pt idx="32">
                  <c:v>10212300</c:v>
                </c:pt>
                <c:pt idx="33">
                  <c:v>9679500</c:v>
                </c:pt>
                <c:pt idx="34">
                  <c:v>10890900</c:v>
                </c:pt>
                <c:pt idx="35">
                  <c:v>11181300</c:v>
                </c:pt>
                <c:pt idx="36">
                  <c:v>12980600</c:v>
                </c:pt>
                <c:pt idx="37">
                  <c:v>12672900</c:v>
                </c:pt>
                <c:pt idx="38">
                  <c:v>11902500</c:v>
                </c:pt>
                <c:pt idx="39">
                  <c:v>13159000</c:v>
                </c:pt>
                <c:pt idx="40">
                  <c:v>13201400</c:v>
                </c:pt>
                <c:pt idx="41">
                  <c:v>12632200</c:v>
                </c:pt>
                <c:pt idx="42">
                  <c:v>12761900</c:v>
                </c:pt>
                <c:pt idx="43">
                  <c:v>14476200</c:v>
                </c:pt>
                <c:pt idx="44">
                  <c:v>14686700</c:v>
                </c:pt>
                <c:pt idx="45">
                  <c:v>16396900</c:v>
                </c:pt>
                <c:pt idx="46">
                  <c:v>16231800</c:v>
                </c:pt>
                <c:pt idx="47">
                  <c:v>19819000</c:v>
                </c:pt>
                <c:pt idx="48">
                  <c:v>20653000</c:v>
                </c:pt>
                <c:pt idx="49">
                  <c:v>23239900</c:v>
                </c:pt>
                <c:pt idx="50">
                  <c:v>22995900</c:v>
                </c:pt>
                <c:pt idx="51">
                  <c:v>22532400</c:v>
                </c:pt>
                <c:pt idx="52">
                  <c:v>22064500</c:v>
                </c:pt>
                <c:pt idx="53">
                  <c:v>21341500</c:v>
                </c:pt>
                <c:pt idx="54">
                  <c:v>21875500</c:v>
                </c:pt>
                <c:pt idx="55">
                  <c:v>23143500</c:v>
                </c:pt>
                <c:pt idx="56">
                  <c:v>24416500</c:v>
                </c:pt>
                <c:pt idx="57">
                  <c:v>23555500</c:v>
                </c:pt>
                <c:pt idx="58">
                  <c:v>23829500</c:v>
                </c:pt>
                <c:pt idx="59">
                  <c:v>23598500</c:v>
                </c:pt>
                <c:pt idx="60">
                  <c:v>22302500</c:v>
                </c:pt>
                <c:pt idx="61">
                  <c:v>21582500</c:v>
                </c:pt>
                <c:pt idx="62">
                  <c:v>21691500</c:v>
                </c:pt>
                <c:pt idx="63">
                  <c:v>20956500</c:v>
                </c:pt>
                <c:pt idx="64">
                  <c:v>21206500</c:v>
                </c:pt>
                <c:pt idx="65">
                  <c:v>20630500</c:v>
                </c:pt>
                <c:pt idx="66">
                  <c:v>20126500</c:v>
                </c:pt>
                <c:pt idx="67">
                  <c:v>19838500</c:v>
                </c:pt>
                <c:pt idx="68">
                  <c:v>19226500</c:v>
                </c:pt>
                <c:pt idx="69">
                  <c:v>18722500</c:v>
                </c:pt>
                <c:pt idx="70">
                  <c:v>18512500</c:v>
                </c:pt>
                <c:pt idx="71">
                  <c:v>18080500</c:v>
                </c:pt>
                <c:pt idx="72">
                  <c:v>18809500</c:v>
                </c:pt>
                <c:pt idx="73">
                  <c:v>19161500</c:v>
                </c:pt>
                <c:pt idx="74">
                  <c:v>18657500</c:v>
                </c:pt>
                <c:pt idx="75">
                  <c:v>19587500</c:v>
                </c:pt>
                <c:pt idx="76">
                  <c:v>19239500</c:v>
                </c:pt>
                <c:pt idx="77">
                  <c:v>18749300</c:v>
                </c:pt>
                <c:pt idx="78">
                  <c:v>18029300</c:v>
                </c:pt>
                <c:pt idx="79">
                  <c:v>17741300</c:v>
                </c:pt>
                <c:pt idx="80">
                  <c:v>17093300</c:v>
                </c:pt>
                <c:pt idx="81">
                  <c:v>17177300</c:v>
                </c:pt>
                <c:pt idx="82">
                  <c:v>17346300</c:v>
                </c:pt>
                <c:pt idx="83">
                  <c:v>16836300</c:v>
                </c:pt>
                <c:pt idx="84">
                  <c:v>17643300</c:v>
                </c:pt>
                <c:pt idx="85">
                  <c:v>18280300</c:v>
                </c:pt>
                <c:pt idx="86">
                  <c:v>17632300</c:v>
                </c:pt>
                <c:pt idx="87">
                  <c:v>16984300</c:v>
                </c:pt>
                <c:pt idx="88">
                  <c:v>16735300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25000000"/>
          <c:min val="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238123</xdr:colOff>
      <xdr:row>2</xdr:row>
      <xdr:rowOff>138218</xdr:rowOff>
    </xdr:from>
    <xdr:to>
      <xdr:col>19</xdr:col>
      <xdr:colOff>514349</xdr:colOff>
      <xdr:row>29</xdr:row>
      <xdr:rowOff>154093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F90" totalsRowShown="0" headerRowDxfId="11">
  <tableColumns count="6">
    <tableColumn id="1" name="Date" dataDxfId="10" totalsRowDxfId="9"/>
    <tableColumn id="2" name="Result" dataDxfId="8" totalsRowDxfId="7"/>
    <tableColumn id="6" name="Bet Value" dataDxfId="6" totalsRowDxfId="5">
      <calculatedColumnFormula>4*96000+1*32000</calculatedColumnFormula>
    </tableColumn>
    <tableColumn id="4" name="Accu. Bet Value" dataDxfId="4" totalsRowDxfId="3">
      <calculatedColumnFormula>D1+Table1[[#This Row],[Bet Value]]</calculatedColumnFormula>
    </tableColumn>
    <tableColumn id="3" name="Change" dataDxfId="2"/>
    <tableColumn id="5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0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F90</f>
        <v>16735300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12000000</v>
      </c>
      <c r="G2" s="4"/>
      <c r="H2" s="3"/>
      <c r="I2" s="4"/>
    </row>
    <row r="3" spans="1:9">
      <c r="A3" s="9">
        <v>42981</v>
      </c>
      <c r="B3" s="5" t="s">
        <v>8</v>
      </c>
      <c r="C3" s="4">
        <f>3*180000+1*60000</f>
        <v>600000</v>
      </c>
      <c r="D3" s="4">
        <f>Table1[[#This Row],[Bet Value]]</f>
        <v>600000</v>
      </c>
      <c r="E3" s="4">
        <f>-397500+42000</f>
        <v>-355500</v>
      </c>
      <c r="F3" s="4">
        <f>F2+Table1[[#This Row],[Change]]</f>
        <v>11644500</v>
      </c>
      <c r="G3" s="4"/>
    </row>
    <row r="4" spans="1:9">
      <c r="A4" s="9">
        <v>42984</v>
      </c>
      <c r="B4" s="5" t="s">
        <v>9</v>
      </c>
      <c r="C4" s="4">
        <f>4*180000+0*60000</f>
        <v>720000</v>
      </c>
      <c r="D4" s="4">
        <f>D3 + Table1[[#This Row],[Bet Value]]</f>
        <v>1320000</v>
      </c>
      <c r="E4" s="4">
        <f>175500+18000</f>
        <v>193500</v>
      </c>
      <c r="F4" s="4">
        <f>F3+Table1[[#This Row],[Change]]</f>
        <v>11838000</v>
      </c>
      <c r="G4" s="4"/>
    </row>
    <row r="5" spans="1:9">
      <c r="A5" s="9">
        <v>42988</v>
      </c>
      <c r="B5" s="5" t="s">
        <v>10</v>
      </c>
      <c r="C5" s="4">
        <f>4*180000+1*60000</f>
        <v>780000</v>
      </c>
      <c r="D5" s="4">
        <f>D4 + Table1[[#This Row],[Bet Value]]</f>
        <v>2100000</v>
      </c>
      <c r="E5" s="4">
        <f>201000+42000</f>
        <v>243000</v>
      </c>
      <c r="F5" s="4">
        <f>F4+Table1[[#This Row],[Change]]</f>
        <v>12081000</v>
      </c>
      <c r="G5" s="4"/>
    </row>
    <row r="6" spans="1:9">
      <c r="A6" s="9">
        <v>42991</v>
      </c>
      <c r="B6" s="5" t="s">
        <v>11</v>
      </c>
      <c r="C6" s="4">
        <f>1*180000+0*60000</f>
        <v>180000</v>
      </c>
      <c r="D6" s="4">
        <f>D5 + Table1[[#This Row],[Bet Value]]</f>
        <v>2280000</v>
      </c>
      <c r="E6" s="4">
        <f>-180000+18000</f>
        <v>-162000</v>
      </c>
      <c r="F6" s="4">
        <f>F5+Table1[[#This Row],[Change]]</f>
        <v>11919000</v>
      </c>
      <c r="G6" s="4"/>
    </row>
    <row r="7" spans="1:9">
      <c r="A7" s="9">
        <v>42994</v>
      </c>
      <c r="B7" s="5" t="s">
        <v>12</v>
      </c>
      <c r="C7" s="4">
        <f>2*180000+1*60000</f>
        <v>420000</v>
      </c>
      <c r="D7" s="4">
        <f>D6 + Table1[[#This Row],[Bet Value]]</f>
        <v>2700000</v>
      </c>
      <c r="E7" s="4">
        <f>369750+24000</f>
        <v>393750</v>
      </c>
      <c r="F7" s="4">
        <f>F6+Table1[[#This Row],[Change]]</f>
        <v>12312750</v>
      </c>
      <c r="G7" s="4"/>
    </row>
    <row r="8" spans="1:9">
      <c r="A8" s="9">
        <v>42998</v>
      </c>
      <c r="B8" s="5" t="s">
        <v>13</v>
      </c>
      <c r="C8" s="4">
        <f>3*180000+1*60000</f>
        <v>600000</v>
      </c>
      <c r="D8" s="4">
        <f>D7 + Table1[[#This Row],[Bet Value]]</f>
        <v>3300000</v>
      </c>
      <c r="E8" s="4">
        <f>-127500+42000</f>
        <v>-85500</v>
      </c>
      <c r="F8" s="4">
        <f>F7+Table1[[#This Row],[Change]]</f>
        <v>12227250</v>
      </c>
      <c r="G8" s="4"/>
    </row>
    <row r="9" spans="1:9">
      <c r="A9" s="9">
        <v>43002</v>
      </c>
      <c r="B9" s="5" t="s">
        <v>12</v>
      </c>
      <c r="C9" s="4">
        <f>2*180000+1*60000</f>
        <v>420000</v>
      </c>
      <c r="D9" s="4">
        <f>D8 + Table1[[#This Row],[Bet Value]]</f>
        <v>3720000</v>
      </c>
      <c r="E9" s="4">
        <f>-177000+24000</f>
        <v>-153000</v>
      </c>
      <c r="F9" s="4">
        <f>F8+Table1[[#This Row],[Change]]</f>
        <v>12074250</v>
      </c>
      <c r="G9" s="4"/>
    </row>
    <row r="10" spans="1:9">
      <c r="A10" s="9">
        <v>43005</v>
      </c>
      <c r="B10" s="5" t="s">
        <v>14</v>
      </c>
      <c r="C10" s="4">
        <f>2*180000+0*60000</f>
        <v>360000</v>
      </c>
      <c r="D10" s="4">
        <f>D9 + Table1[[#This Row],[Bet Value]]</f>
        <v>4080000</v>
      </c>
      <c r="E10" s="4">
        <f>-11250+18000</f>
        <v>6750</v>
      </c>
      <c r="F10" s="4">
        <f>F9+Table1[[#This Row],[Change]]</f>
        <v>12081000</v>
      </c>
      <c r="G10" s="4"/>
    </row>
    <row r="11" spans="1:9">
      <c r="A11" s="9">
        <v>43009</v>
      </c>
      <c r="B11" s="5" t="s">
        <v>15</v>
      </c>
      <c r="C11" s="4">
        <f>2*180000+3*60000</f>
        <v>540000</v>
      </c>
      <c r="D11" s="4">
        <f>D10 + Table1[[#This Row],[Bet Value]]</f>
        <v>4620000</v>
      </c>
      <c r="E11" s="4">
        <f>283500+30000</f>
        <v>313500</v>
      </c>
      <c r="F11" s="4">
        <f>F10+Table1[[#This Row],[Change]]</f>
        <v>12394500</v>
      </c>
      <c r="G11" s="4"/>
    </row>
    <row r="12" spans="1:9">
      <c r="A12" s="9">
        <v>43013</v>
      </c>
      <c r="B12" s="5" t="s">
        <v>16</v>
      </c>
      <c r="C12" s="4">
        <f>3*180000+2*60000</f>
        <v>660000</v>
      </c>
      <c r="D12" s="4">
        <f>D11 + Table1[[#This Row],[Bet Value]]</f>
        <v>5280000</v>
      </c>
      <c r="E12" s="4">
        <f>-660000+66000</f>
        <v>-594000</v>
      </c>
      <c r="F12" s="4">
        <f>F11+Table1[[#This Row],[Change]]</f>
        <v>11800500</v>
      </c>
      <c r="G12" s="4"/>
    </row>
    <row r="13" spans="1:9">
      <c r="A13" s="9">
        <v>43016</v>
      </c>
      <c r="B13" s="5" t="s">
        <v>17</v>
      </c>
      <c r="C13" s="4">
        <f>2*180000+3*60000</f>
        <v>540000</v>
      </c>
      <c r="D13" s="4">
        <f>D12 + Table1[[#This Row],[Bet Value]]</f>
        <v>5820000</v>
      </c>
      <c r="E13" s="4">
        <f>-540000+54000</f>
        <v>-486000</v>
      </c>
      <c r="F13" s="4">
        <f>F12+Table1[[#This Row],[Change]]</f>
        <v>11314500</v>
      </c>
      <c r="G13" s="4"/>
    </row>
    <row r="14" spans="1:9">
      <c r="A14" s="9">
        <v>43019</v>
      </c>
      <c r="B14" s="5" t="s">
        <v>18</v>
      </c>
      <c r="C14" s="4">
        <f>4*180000+2*60000</f>
        <v>840000</v>
      </c>
      <c r="D14" s="4">
        <f>D13 + Table1[[#This Row],[Bet Value]]</f>
        <v>6660000</v>
      </c>
      <c r="E14" s="4">
        <f>308250+42000</f>
        <v>350250</v>
      </c>
      <c r="F14" s="4">
        <f>F13+Table1[[#This Row],[Change]]</f>
        <v>11664750</v>
      </c>
      <c r="G14" s="4"/>
    </row>
    <row r="15" spans="1:9">
      <c r="A15" s="9">
        <v>43022</v>
      </c>
      <c r="B15" s="5" t="s">
        <v>17</v>
      </c>
      <c r="C15" s="4">
        <f>2*180000+0*60000</f>
        <v>360000</v>
      </c>
      <c r="D15" s="4">
        <f>D14 + Table1[[#This Row],[Bet Value]]</f>
        <v>7020000</v>
      </c>
      <c r="E15" s="4">
        <f>-360000+36000</f>
        <v>-324000</v>
      </c>
      <c r="F15" s="4">
        <f>F14+Table1[[#This Row],[Change]]</f>
        <v>11340750</v>
      </c>
      <c r="G15" s="4"/>
    </row>
    <row r="16" spans="1:9">
      <c r="A16" s="9">
        <v>43026</v>
      </c>
      <c r="B16" s="5" t="s">
        <v>19</v>
      </c>
      <c r="C16" s="4">
        <f>6*180000+1*60000</f>
        <v>1140000</v>
      </c>
      <c r="D16" s="4">
        <f>D15 + Table1[[#This Row],[Bet Value]]</f>
        <v>8160000</v>
      </c>
      <c r="E16" s="4">
        <f>-917250+96000</f>
        <v>-821250</v>
      </c>
      <c r="F16" s="4">
        <f>F15+Table1[[#This Row],[Change]]</f>
        <v>10519500</v>
      </c>
      <c r="G16" s="4"/>
    </row>
    <row r="17" spans="1:7">
      <c r="A17" s="9">
        <v>43030</v>
      </c>
      <c r="B17" s="5" t="s">
        <v>20</v>
      </c>
      <c r="C17" s="4">
        <f>3*180000+0*60000</f>
        <v>540000</v>
      </c>
      <c r="D17" s="4">
        <f>D16 + Table1[[#This Row],[Bet Value]]</f>
        <v>8700000</v>
      </c>
      <c r="E17" s="4">
        <f>94500+18000</f>
        <v>112500</v>
      </c>
      <c r="F17" s="4">
        <f>F16+Table1[[#This Row],[Change]]</f>
        <v>10632000</v>
      </c>
      <c r="G17" s="4"/>
    </row>
    <row r="18" spans="1:7">
      <c r="A18" s="9">
        <v>43033</v>
      </c>
      <c r="B18" s="5" t="s">
        <v>21</v>
      </c>
      <c r="C18" s="4">
        <f>3*180000+1*60000</f>
        <v>600000</v>
      </c>
      <c r="D18" s="4">
        <f>D17 + Table1[[#This Row],[Bet Value]]</f>
        <v>9300000</v>
      </c>
      <c r="E18" s="4">
        <f>779250+24000</f>
        <v>803250</v>
      </c>
      <c r="F18" s="4">
        <f>F17+Table1[[#This Row],[Change]]</f>
        <v>11435250</v>
      </c>
      <c r="G18" s="4"/>
    </row>
    <row r="19" spans="1:7">
      <c r="A19" s="9">
        <v>43037</v>
      </c>
      <c r="B19" s="5" t="s">
        <v>14</v>
      </c>
      <c r="C19" s="4">
        <f>2*180000+0*60000</f>
        <v>360000</v>
      </c>
      <c r="D19" s="4">
        <f>D18 + Table1[[#This Row],[Bet Value]]</f>
        <v>9660000</v>
      </c>
      <c r="E19" s="4">
        <f>-29250+18000</f>
        <v>-11250</v>
      </c>
      <c r="F19" s="4">
        <f>F18+Table1[[#This Row],[Change]]</f>
        <v>11424000</v>
      </c>
      <c r="G19" s="4"/>
    </row>
    <row r="20" spans="1:7">
      <c r="A20" s="9">
        <v>43040</v>
      </c>
      <c r="B20" s="5" t="s">
        <v>23</v>
      </c>
      <c r="C20" s="4">
        <f xml:space="preserve"> 3*200000+3*64000</f>
        <v>792000</v>
      </c>
      <c r="D20" s="4">
        <f>D19 + Table1[[#This Row],[Bet Value]]</f>
        <v>10452000</v>
      </c>
      <c r="E20" s="4">
        <f>-233700+52800</f>
        <v>-180900</v>
      </c>
      <c r="F20" s="4">
        <f>F19+Table1[[#This Row],[Change]]</f>
        <v>11243100</v>
      </c>
      <c r="G20" s="4"/>
    </row>
    <row r="21" spans="1:7">
      <c r="A21" s="9">
        <v>43044</v>
      </c>
      <c r="B21" s="5" t="s">
        <v>22</v>
      </c>
      <c r="C21" s="4">
        <f>5*200000+2*64000</f>
        <v>1128000</v>
      </c>
      <c r="D21" s="4">
        <f>D20 + Table1[[#This Row],[Bet Value]]</f>
        <v>11580000</v>
      </c>
      <c r="E21" s="4">
        <f>-1128000+112800</f>
        <v>-1015200</v>
      </c>
      <c r="F21" s="4">
        <f>F20+Table1[[#This Row],[Change]]</f>
        <v>10227900</v>
      </c>
      <c r="G21" s="4"/>
    </row>
    <row r="22" spans="1:7">
      <c r="A22" s="9">
        <v>43047</v>
      </c>
      <c r="B22" s="5" t="s">
        <v>24</v>
      </c>
      <c r="C22" s="4">
        <f>4*200000+1*64000</f>
        <v>864000</v>
      </c>
      <c r="D22" s="4">
        <f>D21 + Table1[[#This Row],[Bet Value]]</f>
        <v>12444000</v>
      </c>
      <c r="E22" s="4">
        <f>-314000+66400</f>
        <v>-247600</v>
      </c>
      <c r="F22" s="4">
        <f>F21+Table1[[#This Row],[Change]]</f>
        <v>9980300</v>
      </c>
      <c r="G22" s="4"/>
    </row>
    <row r="23" spans="1:7" s="3" customFormat="1">
      <c r="A23" s="9">
        <v>43050</v>
      </c>
      <c r="B23" s="5" t="s">
        <v>17</v>
      </c>
      <c r="C23" s="4">
        <f>2*200000+64000+32000</f>
        <v>496000</v>
      </c>
      <c r="D23" s="4">
        <f>D22 + Table1[[#This Row],[Bet Value]]</f>
        <v>12940000</v>
      </c>
      <c r="E23" s="4">
        <f>-496000+49600</f>
        <v>-446400</v>
      </c>
      <c r="F23" s="4">
        <f>F22+Table1[[#This Row],[Change]]</f>
        <v>9533900</v>
      </c>
      <c r="G23" s="4"/>
    </row>
    <row r="24" spans="1:7" s="3" customFormat="1">
      <c r="A24" s="9">
        <v>43054</v>
      </c>
      <c r="B24" s="5" t="s">
        <v>10</v>
      </c>
      <c r="C24" s="4">
        <f>4*200000+64000+32000</f>
        <v>896000</v>
      </c>
      <c r="D24" s="4">
        <f>D23 + Table1[[#This Row],[Bet Value]]</f>
        <v>13836000</v>
      </c>
      <c r="E24" s="4">
        <f>-331000+49600</f>
        <v>-281400</v>
      </c>
      <c r="F24" s="4">
        <f>F23+Table1[[#This Row],[Change]]</f>
        <v>9252500</v>
      </c>
      <c r="G24" s="4"/>
    </row>
    <row r="25" spans="1:7" s="3" customFormat="1">
      <c r="A25" s="9">
        <v>43058</v>
      </c>
      <c r="B25" s="5" t="s">
        <v>18</v>
      </c>
      <c r="C25" s="4">
        <f>4*200000+3*64000</f>
        <v>992000</v>
      </c>
      <c r="D25" s="4">
        <f>D24 + Table1[[#This Row],[Bet Value]]</f>
        <v>14828000</v>
      </c>
      <c r="E25" s="4">
        <f xml:space="preserve"> 993000+52800</f>
        <v>1045800</v>
      </c>
      <c r="F25" s="4">
        <f>F24+Table1[[#This Row],[Change]]</f>
        <v>10298300</v>
      </c>
      <c r="G25" s="4"/>
    </row>
    <row r="26" spans="1:7" s="3" customFormat="1">
      <c r="A26" s="9">
        <v>43061</v>
      </c>
      <c r="B26" s="5" t="s">
        <v>16</v>
      </c>
      <c r="C26" s="4">
        <f>3*200000+1*64000</f>
        <v>664000</v>
      </c>
      <c r="D26" s="4">
        <f>D25 + Table1[[#This Row],[Bet Value]]</f>
        <v>15492000</v>
      </c>
      <c r="E26" s="4">
        <f xml:space="preserve"> -664000+66400</f>
        <v>-597600</v>
      </c>
      <c r="F26" s="4">
        <f>F25+Table1[[#This Row],[Change]]</f>
        <v>9700700</v>
      </c>
      <c r="G26" s="4"/>
    </row>
    <row r="27" spans="1:7" s="3" customFormat="1">
      <c r="A27" s="9">
        <v>43065</v>
      </c>
      <c r="B27" s="5" t="s">
        <v>16</v>
      </c>
      <c r="C27" s="4">
        <f>3*200000+2*64000</f>
        <v>728000</v>
      </c>
      <c r="D27" s="4">
        <f>D26 + Table1[[#This Row],[Bet Value]]</f>
        <v>16220000</v>
      </c>
      <c r="E27" s="4">
        <f xml:space="preserve"> -728000+72800</f>
        <v>-655200</v>
      </c>
      <c r="F27" s="4">
        <f>F26+Table1[[#This Row],[Change]]</f>
        <v>9045500</v>
      </c>
      <c r="G27" s="4"/>
    </row>
    <row r="28" spans="1:7" s="3" customFormat="1">
      <c r="A28" s="9">
        <v>43068</v>
      </c>
      <c r="B28" s="5" t="s">
        <v>21</v>
      </c>
      <c r="C28" s="4">
        <f>3*200000+0*64000</f>
        <v>600000</v>
      </c>
      <c r="D28" s="4">
        <f>D27 + Table1[[#This Row],[Bet Value]]</f>
        <v>16820000</v>
      </c>
      <c r="E28" s="4">
        <f xml:space="preserve"> 107500+20000</f>
        <v>127500</v>
      </c>
      <c r="F28" s="4">
        <f>F27+Table1[[#This Row],[Change]]</f>
        <v>9173000</v>
      </c>
      <c r="G28" s="4"/>
    </row>
    <row r="29" spans="1:7">
      <c r="A29" s="9">
        <v>43072</v>
      </c>
      <c r="B29" s="5" t="s">
        <v>25</v>
      </c>
      <c r="C29" s="4">
        <f>4*200000+3*64000</f>
        <v>992000</v>
      </c>
      <c r="D29" s="4">
        <f>D28 + Table1[[#This Row],[Bet Value]]</f>
        <v>17812000</v>
      </c>
      <c r="E29" s="4">
        <f xml:space="preserve"> -204500+59200</f>
        <v>-145300</v>
      </c>
      <c r="F29" s="4">
        <f>F28+Table1[[#This Row],[Change]]</f>
        <v>9027700</v>
      </c>
      <c r="G29" s="4"/>
    </row>
    <row r="30" spans="1:7" s="3" customFormat="1">
      <c r="A30" s="9">
        <v>43075</v>
      </c>
      <c r="B30" s="5" t="s">
        <v>26</v>
      </c>
      <c r="C30" s="4">
        <f>5*200000+0*64000</f>
        <v>1000000</v>
      </c>
      <c r="D30" s="4">
        <f>D29 + Table1[[#This Row],[Bet Value]]</f>
        <v>18812000</v>
      </c>
      <c r="E30" s="4">
        <f xml:space="preserve"> -700000+80000</f>
        <v>-620000</v>
      </c>
      <c r="F30" s="4">
        <f>F29+Table1[[#This Row],[Change]]</f>
        <v>8407700</v>
      </c>
      <c r="G30" s="4"/>
    </row>
    <row r="31" spans="1:7" s="3" customFormat="1">
      <c r="A31" s="9">
        <v>43079</v>
      </c>
      <c r="B31" s="5" t="s">
        <v>27</v>
      </c>
      <c r="C31" s="4">
        <f>5*200000+3*64000</f>
        <v>1192000</v>
      </c>
      <c r="D31" s="4">
        <f>D30 + Table1[[#This Row],[Bet Value]]</f>
        <v>20004000</v>
      </c>
      <c r="E31" s="4">
        <f xml:space="preserve"> 195500+59200</f>
        <v>254700</v>
      </c>
      <c r="F31" s="4">
        <f>F30+Table1[[#This Row],[Change]]</f>
        <v>8662400</v>
      </c>
      <c r="G31" s="4"/>
    </row>
    <row r="32" spans="1:7" s="3" customFormat="1">
      <c r="A32" s="9">
        <v>43082</v>
      </c>
      <c r="B32" s="5" t="s">
        <v>28</v>
      </c>
      <c r="C32" s="4">
        <f>4*200000+2*64000</f>
        <v>928000</v>
      </c>
      <c r="D32" s="4">
        <f>D31 + Table1[[#This Row],[Bet Value]]</f>
        <v>20932000</v>
      </c>
      <c r="E32" s="4">
        <f xml:space="preserve"> 916400+46400</f>
        <v>962800</v>
      </c>
      <c r="F32" s="4">
        <f>F31+Table1[[#This Row],[Change]]</f>
        <v>9625200</v>
      </c>
      <c r="G32" s="4"/>
    </row>
    <row r="33" spans="1:7" s="3" customFormat="1">
      <c r="A33" s="9">
        <v>43086</v>
      </c>
      <c r="B33" s="5" t="s">
        <v>29</v>
      </c>
      <c r="C33" s="4">
        <f>3*200000+3*64000</f>
        <v>792000</v>
      </c>
      <c r="D33" s="4">
        <f>D32 + Table1[[#This Row],[Bet Value]]</f>
        <v>21724000</v>
      </c>
      <c r="E33" s="4">
        <f xml:space="preserve"> 1134600+12800</f>
        <v>1147400</v>
      </c>
      <c r="F33" s="4">
        <f>F32+Table1[[#This Row],[Change]]</f>
        <v>10772600</v>
      </c>
      <c r="G33" s="4"/>
    </row>
    <row r="34" spans="1:7" s="3" customFormat="1">
      <c r="A34" s="9">
        <v>43089</v>
      </c>
      <c r="B34" s="5" t="s">
        <v>30</v>
      </c>
      <c r="C34" s="4">
        <f>4*200000+3*64000</f>
        <v>992000</v>
      </c>
      <c r="D34" s="4">
        <f>D33 + Table1[[#This Row],[Bet Value]]</f>
        <v>22716000</v>
      </c>
      <c r="E34" s="4">
        <f xml:space="preserve"> -639500+79200</f>
        <v>-560300</v>
      </c>
      <c r="F34" s="4">
        <f>F33+Table1[[#This Row],[Change]]</f>
        <v>10212300</v>
      </c>
      <c r="G34" s="4"/>
    </row>
    <row r="35" spans="1:7" s="3" customFormat="1">
      <c r="A35" s="9">
        <v>43092</v>
      </c>
      <c r="B35" s="5" t="s">
        <v>17</v>
      </c>
      <c r="C35" s="4">
        <f>2*200000+3*64000</f>
        <v>592000</v>
      </c>
      <c r="D35" s="4">
        <f>D34 + Table1[[#This Row],[Bet Value]]</f>
        <v>23308000</v>
      </c>
      <c r="E35" s="4">
        <f xml:space="preserve"> -592000+59200</f>
        <v>-532800</v>
      </c>
      <c r="F35" s="4">
        <f>F34+Table1[[#This Row],[Change]]</f>
        <v>9679500</v>
      </c>
      <c r="G35" s="4"/>
    </row>
    <row r="36" spans="1:7" s="3" customFormat="1">
      <c r="A36" s="9">
        <v>43096</v>
      </c>
      <c r="B36" s="5" t="s">
        <v>31</v>
      </c>
      <c r="C36" s="4">
        <f>3*200000+2*64000</f>
        <v>728000</v>
      </c>
      <c r="D36" s="4">
        <f>D35 + Table1[[#This Row],[Bet Value]]</f>
        <v>24036000</v>
      </c>
      <c r="E36" s="4">
        <f xml:space="preserve"> 1165000+46400</f>
        <v>1211400</v>
      </c>
      <c r="F36" s="4">
        <f>F35+Table1[[#This Row],[Change]]</f>
        <v>10890900</v>
      </c>
      <c r="G36" s="4"/>
    </row>
    <row r="37" spans="1:7" s="3" customFormat="1">
      <c r="A37" s="9">
        <v>43101</v>
      </c>
      <c r="B37" s="5" t="s">
        <v>32</v>
      </c>
      <c r="C37" s="4">
        <f>4*200000+2*64000</f>
        <v>928000</v>
      </c>
      <c r="D37" s="4">
        <f>D36 + Table1[[#This Row],[Bet Value]]</f>
        <v>24964000</v>
      </c>
      <c r="E37" s="4">
        <f xml:space="preserve"> 264000+26400</f>
        <v>290400</v>
      </c>
      <c r="F37" s="4">
        <f>F36+Table1[[#This Row],[Change]]</f>
        <v>11181300</v>
      </c>
      <c r="G37" s="4"/>
    </row>
    <row r="38" spans="1:7" s="3" customFormat="1">
      <c r="A38" s="9">
        <v>43107</v>
      </c>
      <c r="B38" s="5" t="s">
        <v>33</v>
      </c>
      <c r="C38" s="4">
        <f>5*200000+7*64000</f>
        <v>1448000</v>
      </c>
      <c r="D38" s="4">
        <f>D37 + Table1[[#This Row],[Bet Value]]</f>
        <v>26412000</v>
      </c>
      <c r="E38" s="4">
        <f xml:space="preserve"> 1747300+52000</f>
        <v>1799300</v>
      </c>
      <c r="F38" s="4">
        <f>F37+Table1[[#This Row],[Change]]</f>
        <v>12980600</v>
      </c>
      <c r="G38" s="4"/>
    </row>
    <row r="39" spans="1:7" s="3" customFormat="1">
      <c r="A39" s="9">
        <v>43110</v>
      </c>
      <c r="B39" s="5" t="s">
        <v>8</v>
      </c>
      <c r="C39" s="4">
        <f>3*200000+2*64000</f>
        <v>728000</v>
      </c>
      <c r="D39" s="4">
        <f>D38 + Table1[[#This Row],[Bet Value]]</f>
        <v>27140000</v>
      </c>
      <c r="E39" s="4">
        <f xml:space="preserve"> -360500+52800</f>
        <v>-307700</v>
      </c>
      <c r="F39" s="4">
        <f>F38+Table1[[#This Row],[Change]]</f>
        <v>12672900</v>
      </c>
      <c r="G39" s="4"/>
    </row>
    <row r="40" spans="1:7" s="3" customFormat="1">
      <c r="A40" s="9">
        <v>43113</v>
      </c>
      <c r="B40" s="5" t="s">
        <v>16</v>
      </c>
      <c r="C40" s="4">
        <f>3*200000+4*64000</f>
        <v>856000</v>
      </c>
      <c r="D40" s="4">
        <f>D39 + Table1[[#This Row],[Bet Value]]</f>
        <v>27996000</v>
      </c>
      <c r="E40" s="4">
        <f xml:space="preserve"> -856000+85600</f>
        <v>-770400</v>
      </c>
      <c r="F40" s="4">
        <f>F39+Table1[[#This Row],[Change]]</f>
        <v>11902500</v>
      </c>
      <c r="G40" s="4"/>
    </row>
    <row r="41" spans="1:7" s="3" customFormat="1">
      <c r="A41" s="9">
        <v>43117</v>
      </c>
      <c r="B41" s="5" t="s">
        <v>34</v>
      </c>
      <c r="C41" s="4">
        <f>4*200000+3*64000</f>
        <v>992000</v>
      </c>
      <c r="D41" s="4">
        <f>D40 + Table1[[#This Row],[Bet Value]]</f>
        <v>28988000</v>
      </c>
      <c r="E41" s="4">
        <f xml:space="preserve"> 1210100+46400</f>
        <v>1256500</v>
      </c>
      <c r="F41" s="4">
        <f>F40+Table1[[#This Row],[Change]]</f>
        <v>13159000</v>
      </c>
      <c r="G41" s="4"/>
    </row>
    <row r="42" spans="1:7" s="3" customFormat="1">
      <c r="A42" s="9">
        <v>43121</v>
      </c>
      <c r="B42" s="5" t="s">
        <v>12</v>
      </c>
      <c r="C42" s="4">
        <f>2*200000+1*64000</f>
        <v>464000</v>
      </c>
      <c r="D42" s="4">
        <f>D41 + Table1[[#This Row],[Bet Value]]</f>
        <v>29452000</v>
      </c>
      <c r="E42" s="4">
        <f xml:space="preserve"> 16000+26400</f>
        <v>42400</v>
      </c>
      <c r="F42" s="4">
        <f>F41+Table1[[#This Row],[Change]]</f>
        <v>13201400</v>
      </c>
      <c r="G42" s="4"/>
    </row>
    <row r="43" spans="1:7">
      <c r="A43" s="9">
        <v>43124</v>
      </c>
      <c r="B43" s="5" t="s">
        <v>35</v>
      </c>
      <c r="C43" s="4">
        <f>5*200000+4.5*64000</f>
        <v>1288000</v>
      </c>
      <c r="D43" s="4">
        <f>D42 + Table1[[#This Row],[Bet Value]]</f>
        <v>30740000</v>
      </c>
      <c r="E43" s="4">
        <f xml:space="preserve"> -678000+108800</f>
        <v>-569200</v>
      </c>
      <c r="F43" s="4">
        <f>F42+Table1[[#This Row],[Change]]</f>
        <v>12632200</v>
      </c>
      <c r="G43" s="4"/>
    </row>
    <row r="44" spans="1:7">
      <c r="A44" s="9">
        <v>43128</v>
      </c>
      <c r="B44" s="5" t="s">
        <v>36</v>
      </c>
      <c r="C44" s="4">
        <f>6*200000+3*64000</f>
        <v>1392000</v>
      </c>
      <c r="D44" s="4">
        <f>D43 + Table1[[#This Row],[Bet Value]]</f>
        <v>32132000</v>
      </c>
      <c r="E44" s="4">
        <f xml:space="preserve"> 70500+59200</f>
        <v>129700</v>
      </c>
      <c r="F44" s="4">
        <f>F43+Table1[[#This Row],[Change]]</f>
        <v>12761900</v>
      </c>
    </row>
    <row r="45" spans="1:7">
      <c r="A45" s="9">
        <v>43131</v>
      </c>
      <c r="B45" s="5" t="s">
        <v>37</v>
      </c>
      <c r="C45" s="4">
        <f>4*200000+4*64000-16000</f>
        <v>1040000</v>
      </c>
      <c r="D45" s="4">
        <f>D44 + Table1[[#This Row],[Bet Value]]</f>
        <v>33172000</v>
      </c>
      <c r="E45" s="4">
        <f>1635100+79200</f>
        <v>1714300</v>
      </c>
      <c r="F45" s="4">
        <f>F44+Table1[[#This Row],[Change]]</f>
        <v>14476200</v>
      </c>
    </row>
    <row r="46" spans="1:7">
      <c r="A46" s="9">
        <v>43135</v>
      </c>
      <c r="B46" s="5" t="s">
        <v>18</v>
      </c>
      <c r="C46" s="4">
        <f>4*200000+3*64000</f>
        <v>992000</v>
      </c>
      <c r="D46" s="4">
        <f>D45 + Table1[[#This Row],[Bet Value]]</f>
        <v>34164000</v>
      </c>
      <c r="E46" s="4">
        <f>157700+52800</f>
        <v>210500</v>
      </c>
      <c r="F46" s="4">
        <f>F45+Table1[[#This Row],[Change]]</f>
        <v>14686700</v>
      </c>
    </row>
    <row r="47" spans="1:7">
      <c r="A47" s="9">
        <v>43138</v>
      </c>
      <c r="B47" s="5" t="s">
        <v>18</v>
      </c>
      <c r="C47" s="4">
        <f>4*200000+3*64000</f>
        <v>992000</v>
      </c>
      <c r="D47" s="4">
        <f>D46 + Table1[[#This Row],[Bet Value]]</f>
        <v>35156000</v>
      </c>
      <c r="E47" s="4">
        <f>1663800+46400</f>
        <v>1710200</v>
      </c>
      <c r="F47" s="4">
        <f>F46+Table1[[#This Row],[Change]]</f>
        <v>16396900</v>
      </c>
    </row>
    <row r="48" spans="1:7">
      <c r="A48" s="9">
        <v>43141</v>
      </c>
      <c r="B48" s="5" t="s">
        <v>25</v>
      </c>
      <c r="C48" s="4">
        <f>4*200000+1*64000</f>
        <v>864000</v>
      </c>
      <c r="D48" s="4">
        <f>D47 + Table1[[#This Row],[Bet Value]]</f>
        <v>36020000</v>
      </c>
      <c r="E48" s="4">
        <f>-211500+46400</f>
        <v>-165100</v>
      </c>
      <c r="F48" s="4">
        <f>F47+Table1[[#This Row],[Change]]</f>
        <v>16231800</v>
      </c>
    </row>
    <row r="49" spans="1:6">
      <c r="A49" s="9">
        <v>43145</v>
      </c>
      <c r="B49" s="5" t="s">
        <v>38</v>
      </c>
      <c r="C49" s="4">
        <f>6*200000+5*64000</f>
        <v>1520000</v>
      </c>
      <c r="D49" s="4">
        <f>D48 + Table1[[#This Row],[Bet Value]]</f>
        <v>37540000</v>
      </c>
      <c r="E49" s="4">
        <f>3514400+72800</f>
        <v>3587200</v>
      </c>
      <c r="F49" s="4">
        <f>F48+Table1[[#This Row],[Change]]</f>
        <v>19819000</v>
      </c>
    </row>
    <row r="50" spans="1:6">
      <c r="A50" s="9">
        <v>43149</v>
      </c>
      <c r="B50" s="5" t="s">
        <v>39</v>
      </c>
      <c r="C50" s="4">
        <f>6*200000+7*64000</f>
        <v>1648000</v>
      </c>
      <c r="D50" s="4">
        <f>D49 + Table1[[#This Row],[Bet Value]]</f>
        <v>39188000</v>
      </c>
      <c r="E50" s="4">
        <f>742000+92000</f>
        <v>834000</v>
      </c>
      <c r="F50" s="4">
        <f>F49+Table1[[#This Row],[Change]]</f>
        <v>20653000</v>
      </c>
    </row>
    <row r="51" spans="1:6">
      <c r="A51" s="9">
        <v>43152</v>
      </c>
      <c r="B51" s="5" t="s">
        <v>40</v>
      </c>
      <c r="C51" s="4">
        <f>6*200000+6*64000</f>
        <v>1584000</v>
      </c>
      <c r="D51" s="4">
        <f>D50 + Table1[[#This Row],[Bet Value]]</f>
        <v>40772000</v>
      </c>
      <c r="E51" s="4">
        <f>2541300+45600</f>
        <v>2586900</v>
      </c>
      <c r="F51" s="4">
        <f>F50+Table1[[#This Row],[Change]]</f>
        <v>23239900</v>
      </c>
    </row>
    <row r="52" spans="1:6">
      <c r="A52" s="9">
        <v>43156</v>
      </c>
      <c r="B52" s="5" t="s">
        <v>25</v>
      </c>
      <c r="C52" s="4">
        <f>4*200000+2.5*64000</f>
        <v>960000</v>
      </c>
      <c r="D52" s="4">
        <f>D51 + Table1[[#This Row],[Bet Value]]</f>
        <v>41732000</v>
      </c>
      <c r="E52" s="4">
        <f>-300000 + 56000</f>
        <v>-244000</v>
      </c>
      <c r="F52" s="4">
        <f>F51+Table1[[#This Row],[Change]]</f>
        <v>22995900</v>
      </c>
    </row>
    <row r="53" spans="1:6">
      <c r="A53" s="9">
        <v>43159</v>
      </c>
      <c r="B53" s="5" t="s">
        <v>41</v>
      </c>
      <c r="C53" s="4">
        <f>5*200000+7*64000</f>
        <v>1448000</v>
      </c>
      <c r="D53" s="4">
        <f>D52 + Table1[[#This Row],[Bet Value]]</f>
        <v>43180000</v>
      </c>
      <c r="E53" s="4">
        <f>-555500+92000</f>
        <v>-463500</v>
      </c>
      <c r="F53" s="4">
        <f>F52+Table1[[#This Row],[Change]]</f>
        <v>22532400</v>
      </c>
    </row>
    <row r="54" spans="1:6">
      <c r="A54" s="9">
        <v>43162</v>
      </c>
      <c r="B54" s="5" t="s">
        <v>8</v>
      </c>
      <c r="C54" s="4">
        <f>3*200000+4*64000</f>
        <v>856000</v>
      </c>
      <c r="D54" s="4">
        <f>D53 + Table1[[#This Row],[Bet Value]]</f>
        <v>44036000</v>
      </c>
      <c r="E54" s="4">
        <f>-533500 + 65600</f>
        <v>-467900</v>
      </c>
      <c r="F54" s="4">
        <f>F53+Table1[[#This Row],[Change]]</f>
        <v>22064500</v>
      </c>
    </row>
    <row r="55" spans="1:6">
      <c r="A55" s="9">
        <v>43166</v>
      </c>
      <c r="B55" s="5" t="s">
        <v>35</v>
      </c>
      <c r="C55" s="4">
        <f>5*200000+5*64000</f>
        <v>1320000</v>
      </c>
      <c r="D55" s="4">
        <f>D54 + Table1[[#This Row],[Bet Value]]</f>
        <v>45356000</v>
      </c>
      <c r="E55" s="4">
        <f>-835000+112000</f>
        <v>-723000</v>
      </c>
      <c r="F55" s="4">
        <f>F54+Table1[[#This Row],[Change]]</f>
        <v>21341500</v>
      </c>
    </row>
    <row r="56" spans="1:6">
      <c r="A56" s="9">
        <v>43170</v>
      </c>
      <c r="B56" s="5" t="s">
        <v>42</v>
      </c>
      <c r="C56" s="4">
        <f>4*240000</f>
        <v>960000</v>
      </c>
      <c r="D56" s="4">
        <f>D55 + Table1[[#This Row],[Bet Value]]</f>
        <v>46316000</v>
      </c>
      <c r="E56" s="4">
        <f>510000+24000</f>
        <v>534000</v>
      </c>
      <c r="F56" s="4">
        <f>F55+Table1[[#This Row],[Change]]</f>
        <v>21875500</v>
      </c>
    </row>
    <row r="57" spans="1:6">
      <c r="A57" s="9">
        <v>43173</v>
      </c>
      <c r="B57" s="5" t="s">
        <v>43</v>
      </c>
      <c r="C57" s="4">
        <f>5*240000 + 5*80000</f>
        <v>1600000</v>
      </c>
      <c r="D57" s="4">
        <f>D56 + Table1[[#This Row],[Bet Value]]</f>
        <v>47916000</v>
      </c>
      <c r="E57" s="4">
        <f>1172000+96000</f>
        <v>1268000</v>
      </c>
      <c r="F57" s="4">
        <f>F56+Table1[[#This Row],[Change]]</f>
        <v>23143500</v>
      </c>
    </row>
    <row r="58" spans="1:6">
      <c r="A58" s="9">
        <v>43177</v>
      </c>
      <c r="B58" s="5" t="s">
        <v>44</v>
      </c>
      <c r="C58" s="4">
        <f>7*240000 + 5*80000</f>
        <v>2080000</v>
      </c>
      <c r="D58" s="4">
        <f>D57 + Table1[[#This Row],[Bet Value]]</f>
        <v>49996000</v>
      </c>
      <c r="E58" s="4">
        <f>1177000+96000</f>
        <v>1273000</v>
      </c>
      <c r="F58" s="4">
        <f>F57+Table1[[#This Row],[Change]]</f>
        <v>24416500</v>
      </c>
    </row>
    <row r="59" spans="1:6">
      <c r="A59" s="9">
        <v>43180</v>
      </c>
      <c r="B59" s="5" t="s">
        <v>26</v>
      </c>
      <c r="C59" s="4">
        <f>5*240000 + 4*80000</f>
        <v>1520000</v>
      </c>
      <c r="D59" s="4">
        <f>D58 + Table1[[#This Row],[Bet Value]]</f>
        <v>51516000</v>
      </c>
      <c r="E59" s="4">
        <f>-989000+128000</f>
        <v>-861000</v>
      </c>
      <c r="F59" s="4">
        <f>F58+Table1[[#This Row],[Change]]</f>
        <v>23555500</v>
      </c>
    </row>
    <row r="60" spans="1:6">
      <c r="A60" s="9">
        <v>43184</v>
      </c>
      <c r="B60" s="5" t="s">
        <v>45</v>
      </c>
      <c r="C60" s="4">
        <f>5*240000 + 2*80000</f>
        <v>1360000</v>
      </c>
      <c r="D60" s="4">
        <f>D59 + Table1[[#This Row],[Bet Value]]</f>
        <v>52876000</v>
      </c>
      <c r="E60" s="4">
        <f>242000+32000</f>
        <v>274000</v>
      </c>
      <c r="F60" s="4">
        <f>F59+Table1[[#This Row],[Change]]</f>
        <v>23829500</v>
      </c>
    </row>
    <row r="61" spans="1:6">
      <c r="A61" s="9">
        <v>43187</v>
      </c>
      <c r="B61" s="5" t="s">
        <v>8</v>
      </c>
      <c r="C61" s="4">
        <f>3*240000</f>
        <v>720000</v>
      </c>
      <c r="D61" s="4">
        <f>D60 + Table1[[#This Row],[Bet Value]]</f>
        <v>53596000</v>
      </c>
      <c r="E61" s="4">
        <f>-279000+48000</f>
        <v>-231000</v>
      </c>
      <c r="F61" s="4">
        <f>F60+Table1[[#This Row],[Change]]</f>
        <v>23598500</v>
      </c>
    </row>
    <row r="62" spans="1:6">
      <c r="A62" s="9">
        <v>43192</v>
      </c>
      <c r="B62" s="5" t="s">
        <v>46</v>
      </c>
      <c r="C62" s="4">
        <f>4*240000 + 6*80000</f>
        <v>1440000</v>
      </c>
      <c r="D62" s="4">
        <f>D61 + Table1[[#This Row],[Bet Value]]</f>
        <v>55036000</v>
      </c>
      <c r="E62" s="4">
        <f>-1440000+144000</f>
        <v>-1296000</v>
      </c>
      <c r="F62" s="4">
        <f>F61+Table1[[#This Row],[Change]]</f>
        <v>22302500</v>
      </c>
    </row>
    <row r="63" spans="1:6">
      <c r="A63" s="9">
        <v>43198</v>
      </c>
      <c r="B63" s="5" t="s">
        <v>16</v>
      </c>
      <c r="C63" s="4">
        <f>3*240000 + 1*80000</f>
        <v>800000</v>
      </c>
      <c r="D63" s="4">
        <f>D62 + Table1[[#This Row],[Bet Value]]</f>
        <v>55836000</v>
      </c>
      <c r="E63" s="4">
        <f>-800000+80000</f>
        <v>-720000</v>
      </c>
      <c r="F63" s="4">
        <f>F62+Table1[[#This Row],[Change]]</f>
        <v>21582500</v>
      </c>
    </row>
    <row r="64" spans="1:6">
      <c r="A64" s="9">
        <v>43201</v>
      </c>
      <c r="B64" s="5" t="s">
        <v>23</v>
      </c>
      <c r="C64" s="4">
        <f>3*240000 + 3*80000</f>
        <v>960000</v>
      </c>
      <c r="D64" s="4">
        <f>D63 + Table1[[#This Row],[Bet Value]]</f>
        <v>56796000</v>
      </c>
      <c r="E64" s="4">
        <f>45000+64000</f>
        <v>109000</v>
      </c>
      <c r="F64" s="4">
        <f>F63+Table1[[#This Row],[Change]]</f>
        <v>21691500</v>
      </c>
    </row>
    <row r="65" spans="1:6">
      <c r="A65" s="9">
        <v>43205</v>
      </c>
      <c r="B65" s="5" t="s">
        <v>30</v>
      </c>
      <c r="C65" s="4">
        <f>4*240000 + 2*80000</f>
        <v>1120000</v>
      </c>
      <c r="D65" s="4">
        <f>D64 + Table1[[#This Row],[Bet Value]]</f>
        <v>57916000</v>
      </c>
      <c r="E65" s="4">
        <f>-823000+88000</f>
        <v>-735000</v>
      </c>
      <c r="F65" s="4">
        <f>F64+Table1[[#This Row],[Change]]</f>
        <v>20956500</v>
      </c>
    </row>
    <row r="66" spans="1:6">
      <c r="A66" s="9">
        <v>43208</v>
      </c>
      <c r="B66" s="5" t="s">
        <v>10</v>
      </c>
      <c r="C66" s="4">
        <f>4*240000 + 5*80000</f>
        <v>1360000</v>
      </c>
      <c r="D66" s="4">
        <f>D65 + Table1[[#This Row],[Bet Value]]</f>
        <v>59276000</v>
      </c>
      <c r="E66" s="4">
        <f>170000+80000</f>
        <v>250000</v>
      </c>
      <c r="F66" s="4">
        <f>F65+Table1[[#This Row],[Change]]</f>
        <v>21206500</v>
      </c>
    </row>
    <row r="67" spans="1:6">
      <c r="A67" s="9">
        <v>43211</v>
      </c>
      <c r="B67" s="5" t="s">
        <v>17</v>
      </c>
      <c r="C67" s="4">
        <f>2*240000 + 2*80000</f>
        <v>640000</v>
      </c>
      <c r="D67" s="4">
        <f>D66 + Table1[[#This Row],[Bet Value]]</f>
        <v>59916000</v>
      </c>
      <c r="E67" s="4">
        <f>-640000+64000</f>
        <v>-576000</v>
      </c>
      <c r="F67" s="4">
        <f>F66+Table1[[#This Row],[Change]]</f>
        <v>20630500</v>
      </c>
    </row>
    <row r="68" spans="1:6">
      <c r="A68" s="9">
        <v>43215</v>
      </c>
      <c r="B68" s="5" t="s">
        <v>17</v>
      </c>
      <c r="C68" s="4">
        <f>2*240000 + 1*80000</f>
        <v>560000</v>
      </c>
      <c r="D68" s="4">
        <f>D67 + Table1[[#This Row],[Bet Value]]</f>
        <v>60476000</v>
      </c>
      <c r="E68" s="4">
        <f>-560000+56000</f>
        <v>-504000</v>
      </c>
      <c r="F68" s="4">
        <f>F67+Table1[[#This Row],[Change]]</f>
        <v>20126500</v>
      </c>
    </row>
    <row r="69" spans="1:6">
      <c r="A69" s="9">
        <v>43219</v>
      </c>
      <c r="B69" s="5" t="s">
        <v>11</v>
      </c>
      <c r="C69" s="4">
        <f>1*240000 + 1*80000</f>
        <v>320000</v>
      </c>
      <c r="D69" s="4">
        <f>D68 + Table1[[#This Row],[Bet Value]]</f>
        <v>60796000</v>
      </c>
      <c r="E69" s="4">
        <f>-320000+32000</f>
        <v>-288000</v>
      </c>
      <c r="F69" s="4">
        <f>F68+Table1[[#This Row],[Change]]</f>
        <v>19838500</v>
      </c>
    </row>
    <row r="70" spans="1:6">
      <c r="A70" s="9">
        <v>43222</v>
      </c>
      <c r="B70" s="5" t="s">
        <v>17</v>
      </c>
      <c r="C70" s="4">
        <f>2*240000 + 2.5*80000</f>
        <v>680000</v>
      </c>
      <c r="D70" s="4">
        <f>D69 + Table1[[#This Row],[Bet Value]]</f>
        <v>61476000</v>
      </c>
      <c r="E70" s="4">
        <f>-680000+68000</f>
        <v>-612000</v>
      </c>
      <c r="F70" s="4">
        <f>F69+Table1[[#This Row],[Change]]</f>
        <v>19226500</v>
      </c>
    </row>
    <row r="71" spans="1:6">
      <c r="A71" s="9">
        <v>43226</v>
      </c>
      <c r="B71" s="5" t="s">
        <v>17</v>
      </c>
      <c r="C71" s="4">
        <f>2*240000 + 1*80000</f>
        <v>560000</v>
      </c>
      <c r="D71" s="4">
        <f>D70 + Table1[[#This Row],[Bet Value]]</f>
        <v>62036000</v>
      </c>
      <c r="E71" s="4">
        <f>-560000+56000</f>
        <v>-504000</v>
      </c>
      <c r="F71" s="4">
        <f>F70+Table1[[#This Row],[Change]]</f>
        <v>18722500</v>
      </c>
    </row>
    <row r="72" spans="1:6">
      <c r="A72" s="9">
        <v>43229</v>
      </c>
      <c r="B72" s="5" t="s">
        <v>20</v>
      </c>
      <c r="C72" s="4">
        <f>3*240000 + 1*80000</f>
        <v>800000</v>
      </c>
      <c r="D72" s="4">
        <f>D71 + Table1[[#This Row],[Bet Value]]</f>
        <v>62836000</v>
      </c>
      <c r="E72" s="4">
        <f>-242000+32000</f>
        <v>-210000</v>
      </c>
      <c r="F72" s="4">
        <f>F71+Table1[[#This Row],[Change]]</f>
        <v>18512500</v>
      </c>
    </row>
    <row r="73" spans="1:6">
      <c r="A73" s="9">
        <v>43232</v>
      </c>
      <c r="B73" s="5" t="s">
        <v>17</v>
      </c>
      <c r="C73" s="4">
        <f>2*240000 + 0*80000</f>
        <v>480000</v>
      </c>
      <c r="D73" s="4">
        <f>D72 + Table1[[#This Row],[Bet Value]]</f>
        <v>63316000</v>
      </c>
      <c r="E73" s="4">
        <f>-480000+48000</f>
        <v>-432000</v>
      </c>
      <c r="F73" s="4">
        <f>F72+Table1[[#This Row],[Change]]</f>
        <v>18080500</v>
      </c>
    </row>
    <row r="74" spans="1:6">
      <c r="A74" s="9">
        <v>43236</v>
      </c>
      <c r="B74" s="5" t="s">
        <v>47</v>
      </c>
      <c r="C74" s="4">
        <f>3*240000 + 3*80000</f>
        <v>960000</v>
      </c>
      <c r="D74" s="4">
        <f>D73 + Table1[[#This Row],[Bet Value]]</f>
        <v>64276000</v>
      </c>
      <c r="E74" s="4">
        <f>657000+72000</f>
        <v>729000</v>
      </c>
      <c r="F74" s="4">
        <f>F73+Table1[[#This Row],[Change]]</f>
        <v>18809500</v>
      </c>
    </row>
    <row r="75" spans="1:6">
      <c r="A75" s="9">
        <v>43240</v>
      </c>
      <c r="B75" s="5" t="s">
        <v>48</v>
      </c>
      <c r="C75" s="4">
        <f>3*240000 + 1*80000</f>
        <v>800000</v>
      </c>
      <c r="D75" s="4">
        <f>D74 + Table1[[#This Row],[Bet Value]]</f>
        <v>65076000</v>
      </c>
      <c r="E75" s="4">
        <f>328000+24000</f>
        <v>352000</v>
      </c>
      <c r="F75" s="4">
        <f>F74+Table1[[#This Row],[Change]]</f>
        <v>19161500</v>
      </c>
    </row>
    <row r="76" spans="1:6">
      <c r="A76" s="9">
        <v>43243</v>
      </c>
      <c r="B76" s="5" t="s">
        <v>17</v>
      </c>
      <c r="C76" s="4">
        <f>2*240000 + 1*80000</f>
        <v>560000</v>
      </c>
      <c r="D76" s="4">
        <f>D75 + Table1[[#This Row],[Bet Value]]</f>
        <v>65636000</v>
      </c>
      <c r="E76" s="4">
        <f>-560000+56000</f>
        <v>-504000</v>
      </c>
      <c r="F76" s="4">
        <f>F75+Table1[[#This Row],[Change]]</f>
        <v>18657500</v>
      </c>
    </row>
    <row r="77" spans="1:6">
      <c r="A77" s="9">
        <v>43247</v>
      </c>
      <c r="B77" s="5" t="s">
        <v>49</v>
      </c>
      <c r="C77" s="4">
        <f>2*240000 + 2*80000</f>
        <v>640000</v>
      </c>
      <c r="D77" s="4">
        <f>D76 + Table1[[#This Row],[Bet Value]]</f>
        <v>66276000</v>
      </c>
      <c r="E77" s="4">
        <f>914000+16000</f>
        <v>930000</v>
      </c>
      <c r="F77" s="4">
        <f>F76+Table1[[#This Row],[Change]]</f>
        <v>19587500</v>
      </c>
    </row>
    <row r="78" spans="1:6">
      <c r="A78" s="9">
        <v>43250</v>
      </c>
      <c r="B78" s="5" t="s">
        <v>47</v>
      </c>
      <c r="C78" s="4">
        <f>3*240000 + 2.5*80000</f>
        <v>920000</v>
      </c>
      <c r="D78" s="4">
        <f>D77 + Table1[[#This Row],[Bet Value]]</f>
        <v>67196000</v>
      </c>
      <c r="E78" s="4">
        <f>-416000+68000</f>
        <v>-348000</v>
      </c>
      <c r="F78" s="4">
        <f>F77+Table1[[#This Row],[Change]]</f>
        <v>19239500</v>
      </c>
    </row>
    <row r="79" spans="1:6">
      <c r="A79" s="9">
        <v>43254</v>
      </c>
      <c r="B79" s="5" t="s">
        <v>8</v>
      </c>
      <c r="C79" s="4">
        <f>3*240000 + 0*80000</f>
        <v>720000</v>
      </c>
      <c r="D79" s="4">
        <f>D78 + Table1[[#This Row],[Bet Value]]</f>
        <v>67916000</v>
      </c>
      <c r="E79" s="4">
        <f>-538200+48000</f>
        <v>-490200</v>
      </c>
      <c r="F79" s="4">
        <f>F78+Table1[[#This Row],[Change]]</f>
        <v>18749300</v>
      </c>
    </row>
    <row r="80" spans="1:6">
      <c r="A80" s="9">
        <v>43257</v>
      </c>
      <c r="B80" s="5" t="s">
        <v>16</v>
      </c>
      <c r="C80" s="4">
        <f>3*240000 + 1*80000</f>
        <v>800000</v>
      </c>
      <c r="D80" s="4">
        <f>D79 + Table1[[#This Row],[Bet Value]]</f>
        <v>68716000</v>
      </c>
      <c r="E80" s="4">
        <f>-800000+80000</f>
        <v>-720000</v>
      </c>
      <c r="F80" s="4">
        <f>F79+Table1[[#This Row],[Change]]</f>
        <v>18029300</v>
      </c>
    </row>
    <row r="81" spans="1:6">
      <c r="A81" s="9">
        <v>43261</v>
      </c>
      <c r="B81" s="5" t="s">
        <v>11</v>
      </c>
      <c r="C81" s="4">
        <f>1*240000 + 1*80000</f>
        <v>320000</v>
      </c>
      <c r="D81" s="4">
        <f>D80 + Table1[[#This Row],[Bet Value]]</f>
        <v>69036000</v>
      </c>
      <c r="E81" s="4">
        <f>-320000+32000</f>
        <v>-288000</v>
      </c>
      <c r="F81" s="4">
        <f>F80+Table1[[#This Row],[Change]]</f>
        <v>17741300</v>
      </c>
    </row>
    <row r="82" spans="1:6">
      <c r="A82" s="9">
        <v>43264</v>
      </c>
      <c r="B82" s="5" t="s">
        <v>17</v>
      </c>
      <c r="C82" s="4">
        <f>2*240000 + 3*80000</f>
        <v>720000</v>
      </c>
      <c r="D82" s="4">
        <f>D81 + Table1[[#This Row],[Bet Value]]</f>
        <v>69756000</v>
      </c>
      <c r="E82" s="4">
        <f>-720000+72000</f>
        <v>-648000</v>
      </c>
      <c r="F82" s="4">
        <f>F81+Table1[[#This Row],[Change]]</f>
        <v>17093300</v>
      </c>
    </row>
    <row r="83" spans="1:6">
      <c r="A83" s="9">
        <v>43267</v>
      </c>
      <c r="B83" s="5" t="s">
        <v>50</v>
      </c>
      <c r="C83" s="4">
        <f>1*240000</f>
        <v>240000</v>
      </c>
      <c r="D83" s="4">
        <f>D82 + Table1[[#This Row],[Bet Value]]</f>
        <v>69996000</v>
      </c>
      <c r="E83" s="4">
        <f>84000</f>
        <v>84000</v>
      </c>
      <c r="F83" s="4">
        <f>F82+Table1[[#This Row],[Change]]</f>
        <v>17177300</v>
      </c>
    </row>
    <row r="84" spans="1:6">
      <c r="A84" s="9">
        <v>43275</v>
      </c>
      <c r="B84" s="5" t="s">
        <v>51</v>
      </c>
      <c r="C84" s="4">
        <f>2*240000 + 3*80000</f>
        <v>720000</v>
      </c>
      <c r="D84" s="4">
        <f>D83 + Table1[[#This Row],[Bet Value]]</f>
        <v>70716000</v>
      </c>
      <c r="E84" s="4">
        <f>129000+40000</f>
        <v>169000</v>
      </c>
      <c r="F84" s="4">
        <f>F83+Table1[[#This Row],[Change]]</f>
        <v>17346300</v>
      </c>
    </row>
    <row r="85" spans="1:6">
      <c r="A85" s="9">
        <v>43278</v>
      </c>
      <c r="B85" s="5" t="s">
        <v>8</v>
      </c>
      <c r="C85" s="4">
        <f>3*240000 + 2*80000</f>
        <v>880000</v>
      </c>
      <c r="D85" s="4">
        <f>D84 + Table1[[#This Row],[Bet Value]]</f>
        <v>71596000</v>
      </c>
      <c r="E85" s="4">
        <f>-574000+64000</f>
        <v>-510000</v>
      </c>
      <c r="F85" s="4">
        <f>F84+Table1[[#This Row],[Change]]</f>
        <v>16836300</v>
      </c>
    </row>
    <row r="86" spans="1:6">
      <c r="A86" s="9">
        <v>43282</v>
      </c>
      <c r="B86" s="5" t="s">
        <v>14</v>
      </c>
      <c r="C86" s="4">
        <f>2*240000 + 1*80000</f>
        <v>560000</v>
      </c>
      <c r="D86" s="4">
        <f>D85 + Table1[[#This Row],[Bet Value]]</f>
        <v>72156000</v>
      </c>
      <c r="E86" s="4">
        <f>775000+32000</f>
        <v>807000</v>
      </c>
      <c r="F86" s="4">
        <f>F85+Table1[[#This Row],[Change]]</f>
        <v>17643300</v>
      </c>
    </row>
    <row r="87" spans="1:6">
      <c r="A87" s="9">
        <v>43285</v>
      </c>
      <c r="B87" s="5" t="s">
        <v>52</v>
      </c>
      <c r="C87" s="4">
        <f>3*240000 + 3*80000</f>
        <v>960000</v>
      </c>
      <c r="D87" s="4">
        <f>D86 + Table1[[#This Row],[Bet Value]]</f>
        <v>73116000</v>
      </c>
      <c r="E87" s="4">
        <f>597000+40000</f>
        <v>637000</v>
      </c>
      <c r="F87" s="4">
        <f>F86+Table1[[#This Row],[Change]]</f>
        <v>18280300</v>
      </c>
    </row>
    <row r="88" spans="1:6">
      <c r="A88" s="9">
        <v>43289</v>
      </c>
      <c r="B88" s="5" t="s">
        <v>17</v>
      </c>
      <c r="C88" s="4">
        <f>2*240000 + 3*80000</f>
        <v>720000</v>
      </c>
      <c r="D88" s="4">
        <f>D87 + Table1[[#This Row],[Bet Value]]</f>
        <v>73836000</v>
      </c>
      <c r="E88" s="4">
        <f>-720000+72000</f>
        <v>-648000</v>
      </c>
      <c r="F88" s="4">
        <f>F87+Table1[[#This Row],[Change]]</f>
        <v>17632300</v>
      </c>
    </row>
    <row r="89" spans="1:6">
      <c r="A89" s="9">
        <v>43292</v>
      </c>
      <c r="B89" s="5" t="s">
        <v>17</v>
      </c>
      <c r="C89" s="4">
        <f>2*240000 + 3*80000</f>
        <v>720000</v>
      </c>
      <c r="D89" s="4">
        <f>D88 + Table1[[#This Row],[Bet Value]]</f>
        <v>74556000</v>
      </c>
      <c r="E89" s="4">
        <f>-720000+72000</f>
        <v>-648000</v>
      </c>
      <c r="F89" s="4">
        <f>F88+Table1[[#This Row],[Change]]</f>
        <v>16984300</v>
      </c>
    </row>
    <row r="90" spans="1:6">
      <c r="A90" s="9">
        <v>43296</v>
      </c>
      <c r="B90" s="5" t="s">
        <v>12</v>
      </c>
      <c r="C90" s="4">
        <f>2*240000 + 1*80000</f>
        <v>560000</v>
      </c>
      <c r="D90" s="4">
        <f>D89 + Table1[[#This Row],[Bet Value]]</f>
        <v>75116000</v>
      </c>
      <c r="E90" s="4">
        <f>-281000+32000</f>
        <v>-249000</v>
      </c>
      <c r="F90" s="4">
        <f>F89+Table1[[#This Row],[Change]]</f>
        <v>16735300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2018-07-16T01:42:48Z</dcterms:modified>
</cp:coreProperties>
</file>