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0F36A53B-E58A-4B28-9BA0-3A4773C63CDF}" xr6:coauthVersionLast="43" xr6:coauthVersionMax="43" xr10:uidLastSave="{00000000-0000-0000-0000-000000000000}"/>
  <bookViews>
    <workbookView xWindow="-108" yWindow="-108" windowWidth="23256" windowHeight="12576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87" i="1"/>
  <c r="C87" i="1"/>
  <c r="E86" i="1" l="1"/>
  <c r="C86" i="1"/>
  <c r="E85" i="1" l="1"/>
  <c r="C85" i="1"/>
  <c r="E84" i="1" l="1"/>
  <c r="C84" i="1"/>
  <c r="E83" i="1" l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<sst xmlns="http://schemas.openxmlformats.org/spreadsheetml/2006/main" count="97" uniqueCount="42">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</sst>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Fund!$A$2:$A$87</c:f>
              <c:strCache>
                <c:ptCount val="8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  <c:pt idx="82">
                  <c:v>2019/6/23</c:v>
                </c:pt>
                <c:pt idx="83">
                  <c:v>2019/6/26</c:v>
                </c:pt>
                <c:pt idx="84">
                  <c:v>2019/7/1</c:v>
                </c:pt>
                <c:pt idx="85">
                  <c:v>2019/7/3</c:v>
                </c:pt>
              </c:strCache>
            </c:strRef>
          </c:cat>
          <c:val>
            <c:numRef>
              <c:f>Fund!$F$2:$F$87</c:f>
              <c:numCache>
                <c:formatCode>"HK$"#,##0.00_);[Red]\("HK$"#,##0.00\)</c:formatCode>
                <c:ptCount val="8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  <c:pt idx="82">
                  <c:v>-5842500</c:v>
                </c:pt>
                <c:pt idx="83">
                  <c:v>-6688500</c:v>
                </c:pt>
                <c:pt idx="84">
                  <c:v>-6488500</c:v>
                </c:pt>
                <c:pt idx="85">
                  <c:v>-6263500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7"/>
  <sheetViews>
    <sheetView tabSelected="1" zoomScaleNormal="100" workbookViewId="0"/>
  </sheetViews>
  <sheetFormatPr defaultRowHeight="14.4"/>
  <cols>
    <col min="1" max="1" width="12.6640625" style="7" customWidth="1"/>
    <col min="2" max="2" width="22.33203125" style="2" customWidth="1"/>
    <col min="3" max="3" width="18.44140625" style="1" customWidth="1"/>
    <col min="4" max="4" width="18" style="1" customWidth="1"/>
    <col min="5" max="5" width="17.44140625" customWidth="1"/>
    <col min="6" max="7" width="19.109375" customWidth="1"/>
    <col min="8" max="8" width="17.109375" customWidth="1"/>
    <col min="9" max="9" width="22.664062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F87</f>
        <v>-6263500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  <row r="84" spans="1:6">
      <c r="A84" s="6">
        <v>43639</v>
      </c>
      <c r="B84" s="2" t="s">
        <v>10</v>
      </c>
      <c r="C84" s="1">
        <f>1*400000+0*140000</f>
        <v>400000</v>
      </c>
      <c r="D84" s="1">
        <f>D83 + Table1[[#This Row],[Bet Value]]</f>
        <v>94500000</v>
      </c>
      <c r="E84" s="1">
        <f>450000+0</f>
        <v>450000</v>
      </c>
      <c r="F84" s="1">
        <f>F83+Table1[[#This Row],[Change]]</f>
        <v>-5842500</v>
      </c>
    </row>
    <row r="85" spans="1:6">
      <c r="A85" s="6">
        <v>43642</v>
      </c>
      <c r="B85" s="2" t="s">
        <v>12</v>
      </c>
      <c r="C85" s="1">
        <f>2*400000+1*140000</f>
        <v>940000</v>
      </c>
      <c r="D85" s="1">
        <f>D84 + Table1[[#This Row],[Bet Value]]</f>
        <v>95440000</v>
      </c>
      <c r="E85" s="1">
        <f>-940000+94000</f>
        <v>-846000</v>
      </c>
      <c r="F85" s="1">
        <f>F84+Table1[[#This Row],[Change]]</f>
        <v>-6688500</v>
      </c>
    </row>
    <row r="86" spans="1:6">
      <c r="A86" s="6">
        <v>43647</v>
      </c>
      <c r="B86" s="2" t="s">
        <v>10</v>
      </c>
      <c r="C86" s="1">
        <f>1*400000+0*140000</f>
        <v>400000</v>
      </c>
      <c r="D86" s="1">
        <f>D85 + Table1[[#This Row],[Bet Value]]</f>
        <v>95840000</v>
      </c>
      <c r="E86" s="1">
        <f>200000+0</f>
        <v>200000</v>
      </c>
      <c r="F86" s="1">
        <f>F85+Table1[[#This Row],[Change]]</f>
        <v>-6488500</v>
      </c>
    </row>
    <row r="87" spans="1:6">
      <c r="A87" s="6">
        <v>43649</v>
      </c>
      <c r="B87" s="2" t="s">
        <v>21</v>
      </c>
      <c r="C87" s="1">
        <f>2*400000+0*140000</f>
        <v>800000</v>
      </c>
      <c r="D87" s="1">
        <f>D86 + Table1[[#This Row],[Bet Value]]</f>
        <v>96640000</v>
      </c>
      <c r="E87" s="1">
        <f>185000+40000</f>
        <v>225000</v>
      </c>
      <c r="F87" s="1">
        <f>F86+Table1[[#This Row],[Change]]</f>
        <v>-6263500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2019-07-04T00:24:33Z</dcterms:modified>
</cp:coreProperties>
</file>