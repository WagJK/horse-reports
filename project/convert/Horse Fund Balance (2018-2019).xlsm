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DEEA2C4F-124D-43BC-AD6C-12A5933FD34D}" xr6:coauthVersionLast="31" xr6:coauthVersionMax="40" xr10:uidLastSave="{00000000-0000-0000-0000-000000000000}"/>
  <bookViews>
    <workbookView xWindow="-105" yWindow="-105" windowWidth="23250" windowHeight="1257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48" i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6" i="1" l="1"/>
  <c r="C36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<sst xmlns="http://schemas.openxmlformats.org/spreadsheetml/2006/main" count="58" uniqueCount="31">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</sst>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Fund!$A$2:$A$48</c:f>
              <c:strCache>
                <c:ptCount val="47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</c:strCache>
            </c:strRef>
          </c:cat>
          <c:val>
            <c:numRef>
              <c:f>Fund!$F$2:$F$48</c:f>
              <c:numCache>
                <c:formatCode>General</c:formatCode>
                <c:ptCount val="47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15</xdr:col>
      <xdr:colOff>400050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8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8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F48</f>
        <v>195000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  <row r="34" spans="1:6">
      <c r="A34" s="9">
        <v>43460</v>
      </c>
      <c r="B34" s="5" t="s">
        <v>11</v>
      </c>
      <c r="C34" s="4">
        <f>1*400000+0*140000</f>
        <v>400000</v>
      </c>
      <c r="D34" s="4">
        <f>D33 + Table1[[#This Row],[Bet Value]]</f>
        <v>29120000</v>
      </c>
      <c r="E34" s="4">
        <f>-400000+40000</f>
        <v>-360000</v>
      </c>
      <c r="F34" s="4">
        <f>F33+Table1[[#This Row],[Change]]</f>
        <v>-4131000</v>
      </c>
    </row>
    <row r="35" spans="1:6">
      <c r="A35" s="9">
        <v>43463</v>
      </c>
      <c r="B35" s="5" t="s">
        <v>22</v>
      </c>
      <c r="C35" s="4">
        <f>3*400000+2*140000</f>
        <v>1480000</v>
      </c>
      <c r="D35" s="4">
        <f>D34 + Table1[[#This Row],[Bet Value]]</f>
        <v>30600000</v>
      </c>
      <c r="E35" s="4">
        <f>6506000+14000</f>
        <v>6520000</v>
      </c>
      <c r="F35" s="4">
        <f>F34+Table1[[#This Row],[Change]]</f>
        <v>2389000</v>
      </c>
    </row>
    <row r="36" spans="1:6">
      <c r="A36" s="9">
        <v>43466</v>
      </c>
      <c r="B36" s="5" t="s">
        <v>15</v>
      </c>
      <c r="C36" s="4">
        <f>3*400000+1*140000</f>
        <v>1340000</v>
      </c>
      <c r="D36" s="4">
        <f>D35 + Table1[[#This Row],[Bet Value]]</f>
        <v>31940000</v>
      </c>
      <c r="E36" s="4">
        <f>0+54000</f>
        <v>54000</v>
      </c>
      <c r="F36" s="4">
        <f>F35+Table1[[#This Row],[Change]]</f>
        <v>2443000</v>
      </c>
    </row>
    <row r="37" spans="1:6">
      <c r="A37" s="9">
        <v>43471</v>
      </c>
      <c r="B37" s="5" t="s">
        <v>23</v>
      </c>
      <c r="C37" s="4">
        <f>5*400000+2*140000</f>
        <v>2280000</v>
      </c>
      <c r="D37" s="4">
        <f>D36 + Table1[[#This Row],[Bet Value]]</f>
        <v>34220000</v>
      </c>
      <c r="E37" s="4">
        <f>436250+94000</f>
        <v>530250</v>
      </c>
      <c r="F37" s="4">
        <f>F36+Table1[[#This Row],[Change]]</f>
        <v>2973250</v>
      </c>
    </row>
    <row r="38" spans="1:6">
      <c r="A38" s="9">
        <v>43474</v>
      </c>
      <c r="B38" s="5" t="s">
        <v>24</v>
      </c>
      <c r="C38" s="4">
        <f>2*400000+2*140000</f>
        <v>1080000</v>
      </c>
      <c r="D38" s="4">
        <f>D37 + Table1[[#This Row],[Bet Value]]</f>
        <v>35300000</v>
      </c>
      <c r="E38" s="4">
        <f>-1080000+108000</f>
        <v>-972000</v>
      </c>
      <c r="F38" s="4">
        <f>F37+Table1[[#This Row],[Change]]</f>
        <v>2001250</v>
      </c>
    </row>
    <row r="39" spans="1:6">
      <c r="A39" s="9">
        <v>43477</v>
      </c>
      <c r="B39" s="5" t="s">
        <v>24</v>
      </c>
      <c r="C39" s="4">
        <f>2*400000+2*140000</f>
        <v>1080000</v>
      </c>
      <c r="D39" s="4">
        <f>D38 + Table1[[#This Row],[Bet Value]]</f>
        <v>36380000</v>
      </c>
      <c r="E39" s="4">
        <f>-1080000+108000</f>
        <v>-972000</v>
      </c>
      <c r="F39" s="4">
        <f>F38+Table1[[#This Row],[Change]]</f>
        <v>1029250</v>
      </c>
    </row>
    <row r="40" spans="1:6">
      <c r="A40" s="9">
        <v>43481</v>
      </c>
      <c r="B40" s="5" t="s">
        <v>25</v>
      </c>
      <c r="C40" s="4">
        <f>3*400000+2*140000</f>
        <v>1480000</v>
      </c>
      <c r="D40" s="4">
        <f>D39 + Table1[[#This Row],[Bet Value]]</f>
        <v>37860000</v>
      </c>
      <c r="E40" s="4">
        <f>-1480000+148000</f>
        <v>-1332000</v>
      </c>
      <c r="F40" s="4">
        <f>F39+Table1[[#This Row],[Change]]</f>
        <v>-302750</v>
      </c>
    </row>
    <row r="41" spans="1:6">
      <c r="A41" s="9">
        <v>43485</v>
      </c>
      <c r="B41" s="5" t="s">
        <v>21</v>
      </c>
      <c r="C41" s="4">
        <f>2*400000+2*140000</f>
        <v>1080000</v>
      </c>
      <c r="D41" s="4">
        <f>D40 + Table1[[#This Row],[Bet Value]]</f>
        <v>38940000</v>
      </c>
      <c r="E41" s="4">
        <f>795000+0</f>
        <v>795000</v>
      </c>
      <c r="F41" s="4">
        <f>F40+Table1[[#This Row],[Change]]</f>
        <v>492250</v>
      </c>
    </row>
    <row r="42" spans="1:6">
      <c r="A42" s="9">
        <v>43488</v>
      </c>
      <c r="B42" s="5" t="s">
        <v>21</v>
      </c>
      <c r="C42" s="4">
        <f>2*400000+2*140000</f>
        <v>1080000</v>
      </c>
      <c r="D42" s="4">
        <f>D41 + Table1[[#This Row],[Bet Value]]</f>
        <v>40020000</v>
      </c>
      <c r="E42" s="4">
        <f>-310000+68000</f>
        <v>-242000</v>
      </c>
      <c r="F42" s="4">
        <f>F41+Table1[[#This Row],[Change]]</f>
        <v>250250</v>
      </c>
    </row>
    <row r="43" spans="1:6">
      <c r="A43" s="9">
        <v>43492</v>
      </c>
      <c r="B43" s="5" t="s">
        <v>13</v>
      </c>
      <c r="C43" s="4">
        <f>4*400000+2*140000</f>
        <v>1880000</v>
      </c>
      <c r="D43" s="4">
        <f>D42 + Table1[[#This Row],[Bet Value]]</f>
        <v>41900000</v>
      </c>
      <c r="E43" s="4">
        <f>-750000+148000</f>
        <v>-602000</v>
      </c>
      <c r="F43" s="4">
        <f>F42+Table1[[#This Row],[Change]]</f>
        <v>-351750</v>
      </c>
    </row>
    <row r="44" spans="1:6">
      <c r="A44" s="9">
        <v>43495</v>
      </c>
      <c r="B44" s="5" t="s">
        <v>26</v>
      </c>
      <c r="C44" s="4">
        <f>4*400000+3*140000</f>
        <v>2020000</v>
      </c>
      <c r="D44" s="4">
        <f>D43 + Table1[[#This Row],[Bet Value]]</f>
        <v>43920000</v>
      </c>
      <c r="E44" s="4">
        <f>782000+94000</f>
        <v>876000</v>
      </c>
      <c r="F44" s="4">
        <f>F43+Table1[[#This Row],[Change]]</f>
        <v>524250</v>
      </c>
    </row>
    <row r="45" spans="1:6">
      <c r="A45" s="9">
        <v>43498</v>
      </c>
      <c r="B45" s="5" t="s">
        <v>27</v>
      </c>
      <c r="C45" s="4">
        <f>3*400000+2*140000</f>
        <v>1480000</v>
      </c>
      <c r="D45" s="4">
        <f>D44 + Table1[[#This Row],[Bet Value]]</f>
        <v>45400000</v>
      </c>
      <c r="E45" s="4">
        <f>1114250+94000</f>
        <v>1208250</v>
      </c>
      <c r="F45" s="4">
        <f>F44+Table1[[#This Row],[Change]]</f>
        <v>1732500</v>
      </c>
    </row>
    <row r="46" spans="1:6">
      <c r="A46" s="9">
        <v>43503</v>
      </c>
      <c r="B46" s="5" t="s">
        <v>28</v>
      </c>
      <c r="C46" s="4">
        <f>8*400000+3*140000</f>
        <v>3620000</v>
      </c>
      <c r="D46" s="4">
        <f>D45 + Table1[[#This Row],[Bet Value]]</f>
        <v>49020000</v>
      </c>
      <c r="E46" s="4">
        <f>-1145000+202000</f>
        <v>-943000</v>
      </c>
      <c r="F46" s="4">
        <f>F45+Table1[[#This Row],[Change]]</f>
        <v>789500</v>
      </c>
    </row>
    <row r="47" spans="1:6">
      <c r="A47" s="9">
        <v>43506</v>
      </c>
      <c r="B47" s="5" t="s">
        <v>29</v>
      </c>
      <c r="C47" s="4">
        <f>5*400000+5*140000</f>
        <v>2700000</v>
      </c>
      <c r="D47" s="4">
        <f>D46 + Table1[[#This Row],[Bet Value]]</f>
        <v>51720000</v>
      </c>
      <c r="E47" s="4">
        <f>-1675500+216000</f>
        <v>-1459500</v>
      </c>
      <c r="F47" s="4">
        <f>F46+Table1[[#This Row],[Change]]</f>
        <v>-670000</v>
      </c>
    </row>
    <row r="48" spans="1:6">
      <c r="A48" s="9">
        <v>43509</v>
      </c>
      <c r="B48" s="5" t="s">
        <v>30</v>
      </c>
      <c r="C48" s="4">
        <f>6*400000+0*140000</f>
        <v>2400000</v>
      </c>
      <c r="D48" s="4">
        <f>D47 + Table1[[#This Row],[Bet Value]]</f>
        <v>54120000</v>
      </c>
      <c r="E48" s="4">
        <f>745000+120000</f>
        <v>865000</v>
      </c>
      <c r="F48" s="4">
        <f>F47+Table1[[#This Row],[Change]]</f>
        <v>195000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2019-02-13T22:18:28Z</dcterms:modified>
</cp:coreProperties>
</file>