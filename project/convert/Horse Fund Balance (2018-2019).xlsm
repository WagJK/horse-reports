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434BA342-3D69-48AA-AFB2-27AE1FE0FE59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82" i="1"/>
  <c r="C82" i="1"/>
  <c r="E81" i="1" l="1"/>
  <c r="C81" i="1"/>
  <c r="E80" i="1" l="1"/>
  <c r="C80" i="1"/>
  <c r="E79" i="1" l="1"/>
  <c r="C79" i="1"/>
  <c r="C78" i="1" l="1"/>
  <c r="E78" i="1"/>
  <c r="E77" i="1" l="1"/>
  <c r="C77" i="1"/>
  <c r="C76" i="1" l="1"/>
  <c r="E76" i="1"/>
  <c r="E75" i="1" l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<sst xmlns="http://schemas.openxmlformats.org/spreadsheetml/2006/main" count="92" uniqueCount="42">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</sst>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Fund!$A$2:$A$82</c:f>
              <c:strCache>
                <c:ptCount val="81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  <c:pt idx="74">
                  <c:v>2019/5/22</c:v>
                </c:pt>
                <c:pt idx="75">
                  <c:v>2019/5/26</c:v>
                </c:pt>
                <c:pt idx="76">
                  <c:v>2019/5/29</c:v>
                </c:pt>
                <c:pt idx="77">
                  <c:v>2019/6/2</c:v>
                </c:pt>
                <c:pt idx="78">
                  <c:v>2019/6/5</c:v>
                </c:pt>
                <c:pt idx="79">
                  <c:v>2019/6/8</c:v>
                </c:pt>
                <c:pt idx="80">
                  <c:v>2019/6/12</c:v>
                </c:pt>
              </c:strCache>
            </c:strRef>
          </c:cat>
          <c:val>
            <c:numRef>
              <c:f>Fund!$F$2:$F$82</c:f>
              <c:numCache>
                <c:formatCode>General</c:formatCode>
                <c:ptCount val="81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  <c:pt idx="74">
                  <c:v>-6138500</c:v>
                </c:pt>
                <c:pt idx="75">
                  <c:v>-6624500</c:v>
                </c:pt>
                <c:pt idx="76">
                  <c:v>-5664500</c:v>
                </c:pt>
                <c:pt idx="77">
                  <c:v>-6226500</c:v>
                </c:pt>
                <c:pt idx="78">
                  <c:v>-6712500</c:v>
                </c:pt>
                <c:pt idx="79">
                  <c:v>-7432500</c:v>
                </c:pt>
                <c:pt idx="80">
                  <c:v>-7432500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2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F82</f>
        <v>-7432500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  <row r="76" spans="1:6">
      <c r="A76" s="6">
        <v>43607</v>
      </c>
      <c r="B76" s="2" t="s">
        <v>41</v>
      </c>
      <c r="C76" s="1">
        <f>2*400000+0*140000</f>
        <v>800000</v>
      </c>
      <c r="D76" s="1">
        <f>D75 + Table1[[#This Row],[Bet Value]]</f>
        <v>89940000</v>
      </c>
      <c r="E76" s="1">
        <f>955000</f>
        <v>955000</v>
      </c>
      <c r="F76" s="1">
        <f>F75+Table1[[#This Row],[Change]]</f>
        <v>-6138500</v>
      </c>
    </row>
    <row r="77" spans="1:6">
      <c r="A77" s="6">
        <v>43611</v>
      </c>
      <c r="B77" s="2" t="s">
        <v>11</v>
      </c>
      <c r="C77" s="1">
        <f>1*400000+1*140000</f>
        <v>540000</v>
      </c>
      <c r="D77" s="1">
        <f>D76 + Table1[[#This Row],[Bet Value]]</f>
        <v>90480000</v>
      </c>
      <c r="E77" s="1">
        <f>-540000+54000</f>
        <v>-486000</v>
      </c>
      <c r="F77" s="1">
        <f>F76+Table1[[#This Row],[Change]]</f>
        <v>-6624500</v>
      </c>
    </row>
    <row r="78" spans="1:6">
      <c r="A78" s="6">
        <v>43614</v>
      </c>
      <c r="B78" s="2" t="s">
        <v>10</v>
      </c>
      <c r="C78" s="1">
        <f>1*400000+0*140000</f>
        <v>400000</v>
      </c>
      <c r="D78" s="1">
        <f>D77 + Table1[[#This Row],[Bet Value]]</f>
        <v>90880000</v>
      </c>
      <c r="E78" s="1">
        <f>960000</f>
        <v>960000</v>
      </c>
      <c r="F78" s="1">
        <f>F77+Table1[[#This Row],[Change]]</f>
        <v>-5664500</v>
      </c>
    </row>
    <row r="79" spans="1:6">
      <c r="A79" s="6">
        <v>43618</v>
      </c>
      <c r="B79" s="2" t="s">
        <v>14</v>
      </c>
      <c r="C79" s="1">
        <f>2*400000+2*140000</f>
        <v>1080000</v>
      </c>
      <c r="D79" s="1">
        <f>D78 + Table1[[#This Row],[Bet Value]]</f>
        <v>91960000</v>
      </c>
      <c r="E79" s="1">
        <f>-630000+68000</f>
        <v>-562000</v>
      </c>
      <c r="F79" s="1">
        <f>F78+Table1[[#This Row],[Change]]</f>
        <v>-6226500</v>
      </c>
    </row>
    <row r="80" spans="1:6">
      <c r="A80" s="6">
        <v>43621</v>
      </c>
      <c r="B80" s="2" t="s">
        <v>11</v>
      </c>
      <c r="C80" s="1">
        <f>1*400000+1*140000</f>
        <v>540000</v>
      </c>
      <c r="D80" s="1">
        <f>D79 + Table1[[#This Row],[Bet Value]]</f>
        <v>92500000</v>
      </c>
      <c r="E80" s="1">
        <f>-540000+54000</f>
        <v>-486000</v>
      </c>
      <c r="F80" s="1">
        <f>F79+Table1[[#This Row],[Change]]</f>
        <v>-6712500</v>
      </c>
    </row>
    <row r="81" spans="1:6">
      <c r="A81" s="6">
        <v>43624</v>
      </c>
      <c r="B81" s="2" t="s">
        <v>12</v>
      </c>
      <c r="C81" s="1">
        <f>2*400000+0*140000</f>
        <v>800000</v>
      </c>
      <c r="D81" s="1">
        <f>D80 + Table1[[#This Row],[Bet Value]]</f>
        <v>93300000</v>
      </c>
      <c r="E81" s="1">
        <f>-800000+80000</f>
        <v>-720000</v>
      </c>
      <c r="F81" s="1">
        <f>F80+Table1[[#This Row],[Change]]</f>
        <v>-7432500</v>
      </c>
    </row>
    <row r="82" spans="1:6">
      <c r="A82" s="6">
        <v>43628</v>
      </c>
      <c r="B82" s="2" t="s">
        <v>40</v>
      </c>
      <c r="C82" s="1">
        <f>0*400000+0*140000</f>
        <v>0</v>
      </c>
      <c r="D82" s="1">
        <f>D81 + Table1[[#This Row],[Bet Value]]</f>
        <v>93300000</v>
      </c>
      <c r="E82" s="1">
        <f>0+0</f>
        <v>0</v>
      </c>
      <c r="F82" s="1">
        <f>F81+Table1[[#This Row],[Change]]</f>
        <v>-7432500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2019-06-13T05:40:26Z</dcterms:modified>
</cp:coreProperties>
</file>