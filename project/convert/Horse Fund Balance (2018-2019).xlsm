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云端硬盘\Work\Horse Reports\project\convert\"/>
    </mc:Choice>
  </mc:AlternateContent>
  <xr:revisionPtr revIDLastSave="0" documentId="10_ncr:100000_{C15C45C0-0263-4114-A4B5-FFB808E91716}" xr6:coauthVersionLast="31" xr6:coauthVersionMax="43" xr10:uidLastSave="{00000000-0000-0000-0000-000000000000}"/>
  <bookViews>
    <workbookView xWindow="0" yWindow="0" windowWidth="28800" windowHeight="1180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C88" i="1" l="1"/>
  <c r="I1" i="1"/>
  <c r="E88" i="1"/>
  <c r="E87" i="1" l="1"/>
  <c r="C87" i="1"/>
  <c r="E86" i="1" l="1"/>
  <c r="C86" i="1"/>
  <c r="E85" i="1" l="1"/>
  <c r="C85" i="1"/>
  <c r="E84" i="1" l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<sst xmlns="http://schemas.openxmlformats.org/spreadsheetml/2006/main" count="98" uniqueCount="42">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</sst>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Fund!$A$2:$A$88</c:f>
              <c:strCache>
                <c:ptCount val="8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  <c:pt idx="83">
                  <c:v>2019/6/26</c:v>
                </c:pt>
                <c:pt idx="84">
                  <c:v>2019/7/1</c:v>
                </c:pt>
                <c:pt idx="85">
                  <c:v>2019/7/3</c:v>
                </c:pt>
                <c:pt idx="86">
                  <c:v>2019/7/7</c:v>
                </c:pt>
              </c:strCache>
            </c:strRef>
          </c:cat>
          <c:val>
            <c:numRef>
              <c:f>Fund!$F$2:$F$88</c:f>
              <c:numCache>
                <c:formatCode>"HK$"#,##0.00_);[Red]\("HK$"#,##0.00\)</c:formatCode>
                <c:ptCount val="8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  <c:pt idx="83">
                  <c:v>-6688500</c:v>
                </c:pt>
                <c:pt idx="84">
                  <c:v>-6488500</c:v>
                </c:pt>
                <c:pt idx="85">
                  <c:v>-6263500</c:v>
                </c:pt>
                <c:pt idx="86">
                  <c:v>-7197250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F88</f>
        <v>-7197250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  <row r="85" spans="1:6">
      <c r="A85" s="6">
        <v>43642</v>
      </c>
      <c r="B85" s="2" t="s">
        <v>12</v>
      </c>
      <c r="C85" s="1">
        <f>2*400000+1*140000</f>
        <v>940000</v>
      </c>
      <c r="D85" s="1">
        <f>D84 + Table1[[#This Row],[Bet Value]]</f>
        <v>95440000</v>
      </c>
      <c r="E85" s="1">
        <f>-940000+94000</f>
        <v>-846000</v>
      </c>
      <c r="F85" s="1">
        <f>F84+Table1[[#This Row],[Change]]</f>
        <v>-6688500</v>
      </c>
    </row>
    <row r="86" spans="1:6">
      <c r="A86" s="6">
        <v>43647</v>
      </c>
      <c r="B86" s="2" t="s">
        <v>10</v>
      </c>
      <c r="C86" s="1">
        <f>1*400000+0*140000</f>
        <v>400000</v>
      </c>
      <c r="D86" s="1">
        <f>D85 + Table1[[#This Row],[Bet Value]]</f>
        <v>95840000</v>
      </c>
      <c r="E86" s="1">
        <f>200000+0</f>
        <v>200000</v>
      </c>
      <c r="F86" s="1">
        <f>F85+Table1[[#This Row],[Change]]</f>
        <v>-6488500</v>
      </c>
    </row>
    <row r="87" spans="1:6">
      <c r="A87" s="6">
        <v>43649</v>
      </c>
      <c r="B87" s="2" t="s">
        <v>21</v>
      </c>
      <c r="C87" s="1">
        <f>2*400000+0*140000</f>
        <v>800000</v>
      </c>
      <c r="D87" s="1">
        <f>D86 + Table1[[#This Row],[Bet Value]]</f>
        <v>96640000</v>
      </c>
      <c r="E87" s="1">
        <f>185000+40000</f>
        <v>225000</v>
      </c>
      <c r="F87" s="1">
        <f>F86+Table1[[#This Row],[Change]]</f>
        <v>-6263500</v>
      </c>
    </row>
    <row r="88" spans="1:6">
      <c r="A88" s="6">
        <v>43653</v>
      </c>
      <c r="B88" s="2" t="s">
        <v>29</v>
      </c>
      <c r="C88" s="1">
        <f>5*400000+2*140000</f>
        <v>2280000</v>
      </c>
      <c r="D88" s="1">
        <f>D87 + Table1[[#This Row],[Bet Value]]</f>
        <v>98920000</v>
      </c>
      <c r="E88" s="1">
        <f>-1107750+174000</f>
        <v>-933750</v>
      </c>
      <c r="F88" s="1">
        <f>F87+Table1[[#This Row],[Change]]</f>
        <v>-7197250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2019-07-08T02:27:28Z</dcterms:modified>
</cp:coreProperties>
</file>