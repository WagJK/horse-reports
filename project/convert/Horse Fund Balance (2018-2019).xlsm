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316DD672-C841-40E0-A6EC-5F0D185F44E1}" xr6:coauthVersionLast="31" xr6:coauthVersionMax="41" xr10:uidLastSave="{00000000-0000-0000-0000-000000000000}"/>
  <bookViews>
    <workbookView xWindow="-90" yWindow="-90" windowWidth="23235" windowHeight="12555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67" i="1"/>
  <c r="C67" i="1"/>
  <c r="E66" i="1" l="1"/>
  <c r="C66" i="1"/>
  <c r="E65" i="1" l="1"/>
  <c r="C65" i="1"/>
  <c r="C64" i="1" l="1"/>
  <c r="E64" i="1"/>
  <c r="E63" i="1" l="1"/>
  <c r="C63" i="1"/>
  <c r="E62" i="1" l="1"/>
  <c r="C62" i="1"/>
  <c r="E61" i="1" l="1"/>
  <c r="C61" i="1"/>
  <c r="E60" i="1" l="1"/>
  <c r="C60" i="1"/>
  <c r="E59" i="1" l="1"/>
  <c r="C59" i="1"/>
  <c r="E58" i="1" l="1"/>
  <c r="C58" i="1"/>
  <c r="E57" i="1" l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<sst xmlns="http://schemas.openxmlformats.org/spreadsheetml/2006/main" count="77" uniqueCount="38">
  <si>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</si>
  <si>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</si>
  <si>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</si>
  <si>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</si>
  <si>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</si>
  <si>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</si>
  <si>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</si>
  <si>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</si>
  <si>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</si>
  <si>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</si>
  <si>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</si>
  <si>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</si>
  <si>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</si>
  <si>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</si>
  <si>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</si>
  <si>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</si>
  <si>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</si>
  <si>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</si>
  <si>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</si>
  <si>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</si>
  <si>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</si>
  <si>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</si>
  <si>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</si>
  <si>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</si>
  <si>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</si>
  <si>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</si>
  <si>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</si>
  <si>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</si>
  <si>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</si>
  <si>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</si>
  <si>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</si>
  <si>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</si>
  <si>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</si>
  <si>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</si>
  <si>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</si>
  <si>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</si>
  <si>
    <t xml:space="preserve">2W-5P-2L </t>
  </si>
  <si>
    <t>1W-3P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</si>
</sst>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Fund!$A$2:$A$67</c:f>
              <c:strCache>
                <c:ptCount val="66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  <c:pt idx="56">
                  <c:v>2019/3/20</c:v>
                </c:pt>
                <c:pt idx="57">
                  <c:v>2019/3/24</c:v>
                </c:pt>
                <c:pt idx="58">
                  <c:v>2019/3/27</c:v>
                </c:pt>
                <c:pt idx="59">
                  <c:v>2019/3/31</c:v>
                </c:pt>
                <c:pt idx="60">
                  <c:v>2019/4/3</c:v>
                </c:pt>
                <c:pt idx="61">
                  <c:v>2019/4/7</c:v>
                </c:pt>
                <c:pt idx="62">
                  <c:v>2019/4/10</c:v>
                </c:pt>
                <c:pt idx="63">
                  <c:v>2019/4/14</c:v>
                </c:pt>
                <c:pt idx="64">
                  <c:v>2019/4/17</c:v>
                </c:pt>
                <c:pt idx="65">
                  <c:v>2019/4/22</c:v>
                </c:pt>
              </c:strCache>
            </c:strRef>
          </c:cat>
          <c:val>
            <c:numRef>
              <c:f>Fund!$F$2:$F$67</c:f>
              <c:numCache>
                <c:formatCode>General</c:formatCode>
                <c:ptCount val="66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  <c:pt idx="56">
                  <c:v>-5550000</c:v>
                </c:pt>
                <c:pt idx="57">
                  <c:v>-5890000</c:v>
                </c:pt>
                <c:pt idx="58">
                  <c:v>-7222000</c:v>
                </c:pt>
                <c:pt idx="59">
                  <c:v>-6757000</c:v>
                </c:pt>
                <c:pt idx="60">
                  <c:v>-7074000</c:v>
                </c:pt>
                <c:pt idx="61">
                  <c:v>-7249000</c:v>
                </c:pt>
                <c:pt idx="62">
                  <c:v>-7679000</c:v>
                </c:pt>
                <c:pt idx="63">
                  <c:v>-6047000</c:v>
                </c:pt>
                <c:pt idx="64">
                  <c:v>-4622000</c:v>
                </c:pt>
                <c:pt idx="65">
                  <c:v>-5514000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14</xdr:col>
      <xdr:colOff>83820</xdr:colOff>
      <xdr:row>28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67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7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F67</f>
        <v>-5514000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  <row r="58" spans="1:6">
      <c r="A58" s="6">
        <v>43544</v>
      </c>
      <c r="B58" s="2" t="s">
        <v>25</v>
      </c>
      <c r="C58" s="1">
        <f>3*400000+1*140000</f>
        <v>1340000</v>
      </c>
      <c r="D58" s="1">
        <f>D57 + Table1[[#This Row],[Bet Value]]</f>
        <v>70220000</v>
      </c>
      <c r="E58" s="1">
        <f>-1340000+134000</f>
        <v>-1206000</v>
      </c>
      <c r="F58" s="1">
        <f>F57+Table1[[#This Row],[Change]]</f>
        <v>-5550000</v>
      </c>
    </row>
    <row r="59" spans="1:6">
      <c r="A59" s="6">
        <v>43548</v>
      </c>
      <c r="B59" s="2" t="s">
        <v>14</v>
      </c>
      <c r="C59" s="1">
        <f>2*400000+2*140000</f>
        <v>1080000</v>
      </c>
      <c r="D59" s="1">
        <f>D58 + Table1[[#This Row],[Bet Value]]</f>
        <v>71300000</v>
      </c>
      <c r="E59" s="1">
        <f>-380000+40000</f>
        <v>-340000</v>
      </c>
      <c r="F59" s="1">
        <f>F58+Table1[[#This Row],[Change]]</f>
        <v>-5890000</v>
      </c>
    </row>
    <row r="60" spans="1:6">
      <c r="A60" s="6">
        <v>43551</v>
      </c>
      <c r="B60" s="2" t="s">
        <v>25</v>
      </c>
      <c r="C60" s="1">
        <f>3*400000+2*140000</f>
        <v>1480000</v>
      </c>
      <c r="D60" s="1">
        <f>D59 + Table1[[#This Row],[Bet Value]]</f>
        <v>72780000</v>
      </c>
      <c r="E60" s="1">
        <f>-1480000+148000</f>
        <v>-1332000</v>
      </c>
      <c r="F60" s="1">
        <f>F59+Table1[[#This Row],[Change]]</f>
        <v>-7222000</v>
      </c>
    </row>
    <row r="61" spans="1:6">
      <c r="A61" s="6">
        <v>43555</v>
      </c>
      <c r="B61" s="2" t="s">
        <v>21</v>
      </c>
      <c r="C61" s="1">
        <f>2*400000+2*140000</f>
        <v>1080000</v>
      </c>
      <c r="D61" s="1">
        <f>D60 + Table1[[#This Row],[Bet Value]]</f>
        <v>73860000</v>
      </c>
      <c r="E61" s="1">
        <f>425000+40000</f>
        <v>465000</v>
      </c>
      <c r="F61" s="1">
        <f>F60+Table1[[#This Row],[Change]]</f>
        <v>-6757000</v>
      </c>
    </row>
    <row r="62" spans="1:6">
      <c r="A62" s="6">
        <v>43558</v>
      </c>
      <c r="B62" s="2" t="s">
        <v>21</v>
      </c>
      <c r="C62" s="1">
        <f>2*400000+2*140000</f>
        <v>1080000</v>
      </c>
      <c r="D62" s="1">
        <f>D61 + Table1[[#This Row],[Bet Value]]</f>
        <v>74940000</v>
      </c>
      <c r="E62" s="1">
        <f>-385000+68000</f>
        <v>-317000</v>
      </c>
      <c r="F62" s="1">
        <f>F61+Table1[[#This Row],[Change]]</f>
        <v>-7074000</v>
      </c>
    </row>
    <row r="63" spans="1:6">
      <c r="A63" s="6">
        <v>43562</v>
      </c>
      <c r="B63" s="2" t="s">
        <v>14</v>
      </c>
      <c r="C63" s="1">
        <f>2*400000+0*140000</f>
        <v>800000</v>
      </c>
      <c r="D63" s="1">
        <f>D62 + Table1[[#This Row],[Bet Value]]</f>
        <v>75740000</v>
      </c>
      <c r="E63" s="1">
        <f>-215000+40000</f>
        <v>-175000</v>
      </c>
      <c r="F63" s="1">
        <f>F62+Table1[[#This Row],[Change]]</f>
        <v>-7249000</v>
      </c>
    </row>
    <row r="64" spans="1:6">
      <c r="A64" s="6">
        <v>43565</v>
      </c>
      <c r="B64" s="2" t="s">
        <v>18</v>
      </c>
      <c r="C64" s="1">
        <f>3*400000+0*140000</f>
        <v>1200000</v>
      </c>
      <c r="D64" s="1">
        <f>D63 + Table1[[#This Row],[Bet Value]]</f>
        <v>76940000</v>
      </c>
      <c r="E64" s="1">
        <f>-510000+80000</f>
        <v>-430000</v>
      </c>
      <c r="F64" s="1">
        <f>F63+Table1[[#This Row],[Change]]</f>
        <v>-7679000</v>
      </c>
    </row>
    <row r="65" spans="1:6">
      <c r="A65" s="6">
        <v>43569</v>
      </c>
      <c r="B65" s="2" t="s">
        <v>36</v>
      </c>
      <c r="C65" s="1">
        <f>7*400000+3*140000</f>
        <v>3220000</v>
      </c>
      <c r="D65" s="1">
        <f>D64 + Table1[[#This Row],[Bet Value]]</f>
        <v>80160000</v>
      </c>
      <c r="E65" s="1">
        <f>1510000+122000</f>
        <v>1632000</v>
      </c>
      <c r="F65" s="1">
        <f>F64+Table1[[#This Row],[Change]]</f>
        <v>-6047000</v>
      </c>
    </row>
    <row r="66" spans="1:6">
      <c r="A66" s="6">
        <v>43572</v>
      </c>
      <c r="B66" s="2" t="s">
        <v>37</v>
      </c>
      <c r="C66" s="1">
        <f>3*400000+0*140000</f>
        <v>1200000</v>
      </c>
      <c r="D66" s="1">
        <f>D65 + Table1[[#This Row],[Bet Value]]</f>
        <v>81360000</v>
      </c>
      <c r="E66" s="1">
        <f>1425000</f>
        <v>1425000</v>
      </c>
      <c r="F66" s="1">
        <f>F65+Table1[[#This Row],[Change]]</f>
        <v>-4622000</v>
      </c>
    </row>
    <row r="67" spans="1:6">
      <c r="A67" s="6">
        <v>43577</v>
      </c>
      <c r="B67" s="2" t="s">
        <v>18</v>
      </c>
      <c r="C67" s="1">
        <f>3*400000+2*140000</f>
        <v>1480000</v>
      </c>
      <c r="D67" s="1">
        <f>D66 + Table1[[#This Row],[Bet Value]]</f>
        <v>82840000</v>
      </c>
      <c r="E67" s="1">
        <f>-1000000+108000</f>
        <v>-892000</v>
      </c>
      <c r="F67" s="1">
        <f>F66+Table1[[#This Row],[Change]]</f>
        <v>-5514000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2019-04-23T01:52:35Z</dcterms:modified>
</cp:coreProperties>
</file>