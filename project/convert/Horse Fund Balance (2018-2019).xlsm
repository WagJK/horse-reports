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gJK\Desktop\Work\Horse Reports\project\convert\"/>
    </mc:Choice>
  </mc:AlternateContent>
  <xr:revisionPtr revIDLastSave="0" documentId="10_ncr:100000_{24F1FDCC-A4A1-4AE8-A61A-96396604C2BA}" xr6:coauthVersionLast="31" xr6:coauthVersionMax="40" xr10:uidLastSave="{00000000-0000-0000-0000-000000000000}"/>
  <bookViews>
    <workbookView xWindow="5025" yWindow="-30" windowWidth="5025" windowHeight="7680" tabRatio="565" xr2:uid="{00000000-000D-0000-FFFF-FFFF00000000}"/>
  </bookViews>
  <sheets>
    <sheet name="Fund" sheetId="1" r:id="rId1"/>
  </sheets>
  <calcPr calcId="179017"/>
</workbook>
</file>

<file path=xl/calcChain.xml><?xml version="1.0" encoding="utf-8"?>
<calcChain xmlns="http://schemas.openxmlformats.org/spreadsheetml/2006/main">
  <c r="I1" i="1" l="1"/>
  <c r="E38" i="1"/>
  <c r="C38" i="1"/>
  <c r="E37" i="1" l="1"/>
  <c r="C37" i="1"/>
  <c r="E36" i="1" l="1"/>
  <c r="C36" i="1"/>
  <c r="E35" i="1" l="1"/>
  <c r="C35" i="1"/>
  <c r="E34" i="1" l="1"/>
  <c r="C34" i="1"/>
  <c r="E33" i="1" l="1"/>
  <c r="C33" i="1" l="1"/>
  <c r="E32" i="1" l="1"/>
  <c r="C32" i="1"/>
  <c r="E31" i="1" l="1"/>
  <c r="C31" i="1"/>
  <c r="E30" i="1" l="1"/>
  <c r="E29" i="1"/>
  <c r="C30" i="1"/>
  <c r="C29" i="1"/>
  <c r="E28" i="1" l="1"/>
  <c r="C28" i="1"/>
  <c r="E27" i="1" l="1"/>
  <c r="C27" i="1"/>
  <c r="E26" i="1" l="1"/>
  <c r="C26" i="1"/>
  <c r="E25" i="1" l="1"/>
  <c r="C25" i="1"/>
  <c r="E24" i="1" l="1"/>
  <c r="C24" i="1"/>
  <c r="E23" i="1" l="1"/>
  <c r="C23" i="1"/>
  <c r="E22" i="1" l="1"/>
  <c r="C22" i="1"/>
  <c r="E21" i="1" l="1"/>
  <c r="C21" i="1"/>
  <c r="E20" i="1" l="1"/>
  <c r="C20" i="1"/>
  <c r="E19" i="1" l="1"/>
  <c r="C19" i="1"/>
  <c r="E18" i="1" l="1"/>
  <c r="C18" i="1"/>
  <c r="E17" i="1" l="1"/>
  <c r="C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C9" i="1"/>
  <c r="E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F3" i="1"/>
  <c r="F4" i="1" l="1"/>
  <c r="F5" i="1" l="1"/>
  <c r="F6" i="1" l="1"/>
  <c r="F7" i="1" l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l="1"/>
  <c r="F20" i="1" l="1"/>
  <c r="F21" i="1" l="1"/>
  <c r="F22" i="1" s="1"/>
  <c r="F23" i="1" l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l="1"/>
  <c r="F37" i="1" l="1"/>
  <c r="F38" i="1" l="1"/>
</calcChain>
</file>

<file path=xl/sharedStrings.xml><?xml version="1.0" encoding="utf-8"?>
<sst xmlns="http://schemas.openxmlformats.org/spreadsheetml/2006/main" count="48" uniqueCount="25">
  <si>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</si>
  <si>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</si>
  <si>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</si>
  <si>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</si>
  <si>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</si>
  <si>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</si>
  <si>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</si>
  <si>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</si>
  <si>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</si>
  <si>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</si>
  <si>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</si>
  <si>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</si>
  <si>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</si>
  <si>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</si>
  <si>
    <t>1P-1L</t>
  </si>
  <si>
    <t>1W-2P-1L</t>
  </si>
  <si>
    <t>1W-2L</t>
  </si>
  <si>
    <t>2P</t>
  </si>
  <si>
    <t>1P-2L</t>
  </si>
  <si>
    <t>2P-1L</t>
  </si>
  <si>
    <t xml:space="preserve">1W-2P-1PQ </t>
  </si>
  <si>
    <t>1W-1L</t>
  </si>
  <si>
    <t>2W-3P-1Q</t>
  </si>
  <si>
    <t xml:space="preserve">1W-3P-1PQ-2L </t>
  </si>
  <si>
    <t xml:space="preserve">2L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</si>
</sst>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常规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Fund!$A$2:$A$38</c:f>
              <c:strCache>
                <c:ptCount val="37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  <c:pt idx="8">
                  <c:v>2018/10/3</c:v>
                </c:pt>
                <c:pt idx="9">
                  <c:v>2018/10/7</c:v>
                </c:pt>
                <c:pt idx="10">
                  <c:v>2018/10/10</c:v>
                </c:pt>
                <c:pt idx="11">
                  <c:v>2018/10/13</c:v>
                </c:pt>
                <c:pt idx="12">
                  <c:v>2018/10/18</c:v>
                </c:pt>
                <c:pt idx="13">
                  <c:v>2018/10/21</c:v>
                </c:pt>
                <c:pt idx="14">
                  <c:v>2018/10/24</c:v>
                </c:pt>
                <c:pt idx="15">
                  <c:v>2018/10/28</c:v>
                </c:pt>
                <c:pt idx="16">
                  <c:v>2018/10/31</c:v>
                </c:pt>
                <c:pt idx="17">
                  <c:v>2018/11/4</c:v>
                </c:pt>
                <c:pt idx="18">
                  <c:v>2018/11/7</c:v>
                </c:pt>
                <c:pt idx="19">
                  <c:v>2018/11/10</c:v>
                </c:pt>
                <c:pt idx="20">
                  <c:v>2018/11/14</c:v>
                </c:pt>
                <c:pt idx="21">
                  <c:v>2018/11/18</c:v>
                </c:pt>
                <c:pt idx="22">
                  <c:v>2018/11/21</c:v>
                </c:pt>
                <c:pt idx="23">
                  <c:v>2018/11/25</c:v>
                </c:pt>
                <c:pt idx="24">
                  <c:v>2018/11/28</c:v>
                </c:pt>
                <c:pt idx="25">
                  <c:v>2018/12/2</c:v>
                </c:pt>
                <c:pt idx="26">
                  <c:v>2018/12/5</c:v>
                </c:pt>
                <c:pt idx="27">
                  <c:v>2018/12/9</c:v>
                </c:pt>
                <c:pt idx="28">
                  <c:v>2018/12/12</c:v>
                </c:pt>
                <c:pt idx="29">
                  <c:v>2018/12/16</c:v>
                </c:pt>
                <c:pt idx="30">
                  <c:v>2018/12/19</c:v>
                </c:pt>
                <c:pt idx="31">
                  <c:v>2018/12/23</c:v>
                </c:pt>
                <c:pt idx="32">
                  <c:v>2018/12/26</c:v>
                </c:pt>
                <c:pt idx="33">
                  <c:v>2018/12/29</c:v>
                </c:pt>
                <c:pt idx="34">
                  <c:v>2019/1/1</c:v>
                </c:pt>
                <c:pt idx="35">
                  <c:v>2019/1/6</c:v>
                </c:pt>
                <c:pt idx="36">
                  <c:v>2019/1/9</c:v>
                </c:pt>
              </c:strCache>
            </c:strRef>
          </c:cat>
          <c:val>
            <c:numRef>
              <c:f>Fund!$F$2:$F$38</c:f>
              <c:numCache>
                <c:formatCode>General</c:formatCode>
                <c:ptCount val="37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  <c:pt idx="8">
                  <c:v>164750</c:v>
                </c:pt>
                <c:pt idx="9">
                  <c:v>-121250</c:v>
                </c:pt>
                <c:pt idx="10">
                  <c:v>268750</c:v>
                </c:pt>
                <c:pt idx="11">
                  <c:v>-703250</c:v>
                </c:pt>
                <c:pt idx="12">
                  <c:v>-983250</c:v>
                </c:pt>
                <c:pt idx="13">
                  <c:v>-1469250</c:v>
                </c:pt>
                <c:pt idx="14">
                  <c:v>-1704250</c:v>
                </c:pt>
                <c:pt idx="15">
                  <c:v>-1059250</c:v>
                </c:pt>
                <c:pt idx="16">
                  <c:v>288750</c:v>
                </c:pt>
                <c:pt idx="17">
                  <c:v>287750</c:v>
                </c:pt>
                <c:pt idx="18">
                  <c:v>-432250</c:v>
                </c:pt>
                <c:pt idx="19">
                  <c:v>-964250</c:v>
                </c:pt>
                <c:pt idx="20">
                  <c:v>-1684250</c:v>
                </c:pt>
                <c:pt idx="21">
                  <c:v>-1189250</c:v>
                </c:pt>
                <c:pt idx="22">
                  <c:v>-1909250</c:v>
                </c:pt>
                <c:pt idx="23">
                  <c:v>-2395250</c:v>
                </c:pt>
                <c:pt idx="24">
                  <c:v>-1813250</c:v>
                </c:pt>
                <c:pt idx="25">
                  <c:v>-1839250</c:v>
                </c:pt>
                <c:pt idx="26">
                  <c:v>-2590250</c:v>
                </c:pt>
                <c:pt idx="27">
                  <c:v>-3436250</c:v>
                </c:pt>
                <c:pt idx="28">
                  <c:v>-3752250</c:v>
                </c:pt>
                <c:pt idx="29">
                  <c:v>-2959000</c:v>
                </c:pt>
                <c:pt idx="30">
                  <c:v>-3805000</c:v>
                </c:pt>
                <c:pt idx="31">
                  <c:v>-3771000</c:v>
                </c:pt>
                <c:pt idx="32">
                  <c:v>-4131000</c:v>
                </c:pt>
                <c:pt idx="33">
                  <c:v>2389000</c:v>
                </c:pt>
                <c:pt idx="34">
                  <c:v>2443000</c:v>
                </c:pt>
                <c:pt idx="35">
                  <c:v>2973250</c:v>
                </c:pt>
                <c:pt idx="36">
                  <c:v>2001250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5000000"/>
          <c:min val="-500000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180972</xdr:colOff>
      <xdr:row>2</xdr:row>
      <xdr:rowOff>147742</xdr:rowOff>
    </xdr:from>
    <xdr:to>
      <xdr:col>15</xdr:col>
      <xdr:colOff>400050</xdr:colOff>
      <xdr:row>25</xdr:row>
      <xdr:rowOff>9525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38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8"/>
  <sheetViews>
    <sheetView tabSelected="1" zoomScaleNormal="100" workbookViewId="0"/>
  </sheetViews>
  <sheetFormatPr defaultRowHeight="15"/>
  <cols>
    <col min="1" max="1" width="12.7109375" style="10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6" width="19.140625" customWidth="1"/>
    <col min="7" max="7" width="19.140625" style="3" customWidth="1"/>
    <col min="8" max="8" width="17.140625" customWidth="1"/>
    <col min="9" max="9" width="22.7109375" customWidth="1"/>
  </cols>
  <sheetData>
    <row r="1" spans="1:9">
      <c r="A1" s="11" t="s">
        <v>0</v>
      </c>
      <c r="B1" s="8" t="s">
        <v>1</v>
      </c>
      <c r="C1" s="8" t="s">
        <v>6</v>
      </c>
      <c r="D1" s="8" t="s">
        <v>7</v>
      </c>
      <c r="E1" s="8" t="s">
        <v>2</v>
      </c>
      <c r="F1" s="8" t="s">
        <v>3</v>
      </c>
      <c r="G1" s="4"/>
      <c r="H1" s="6" t="s">
        <v>5</v>
      </c>
      <c r="I1" s="7">
        <f>F38</f>
        <v>2001250</v>
      </c>
    </row>
    <row r="2" spans="1:9">
      <c r="A2" s="9" t="s">
        <v>4</v>
      </c>
      <c r="B2" s="5" t="s">
        <v>4</v>
      </c>
      <c r="C2" s="4" t="s">
        <v>4</v>
      </c>
      <c r="D2" s="4" t="s">
        <v>4</v>
      </c>
      <c r="E2" s="4" t="s">
        <v>4</v>
      </c>
      <c r="F2" s="4">
        <v>0</v>
      </c>
      <c r="G2" s="4"/>
      <c r="H2" s="3"/>
      <c r="I2" s="4"/>
    </row>
    <row r="3" spans="1:9">
      <c r="A3" s="9">
        <v>43345</v>
      </c>
      <c r="B3" s="5" t="s">
        <v>8</v>
      </c>
      <c r="C3" s="4">
        <f>2*400000+1*140000</f>
        <v>940000</v>
      </c>
      <c r="D3" s="4">
        <f>Table1[[#This Row],[Bet Value]]</f>
        <v>940000</v>
      </c>
      <c r="E3" s="4">
        <f>1274000+40000</f>
        <v>1314000</v>
      </c>
      <c r="F3" s="4">
        <f>F2+Table1[[#This Row],[Change]]</f>
        <v>1314000</v>
      </c>
      <c r="G3" s="4"/>
    </row>
    <row r="4" spans="1:9">
      <c r="A4" s="9">
        <v>43348</v>
      </c>
      <c r="B4" s="5" t="s">
        <v>9</v>
      </c>
      <c r="C4" s="4">
        <f>2*400000+2*140000</f>
        <v>1080000</v>
      </c>
      <c r="D4" s="4">
        <f>D3 + Table1[[#This Row],[Bet Value]]</f>
        <v>2020000</v>
      </c>
      <c r="E4" s="4">
        <f>1102750+54000</f>
        <v>1156750</v>
      </c>
      <c r="F4" s="4">
        <f>F3+Table1[[#This Row],[Change]]</f>
        <v>2470750</v>
      </c>
    </row>
    <row r="5" spans="1:9">
      <c r="A5" s="9">
        <v>43352</v>
      </c>
      <c r="B5" s="5" t="s">
        <v>10</v>
      </c>
      <c r="C5" s="4">
        <f>1*400000</f>
        <v>400000</v>
      </c>
      <c r="D5" s="4">
        <f>D4 + Table1[[#This Row],[Bet Value]]</f>
        <v>2420000</v>
      </c>
      <c r="E5" s="4">
        <f>495000+0</f>
        <v>495000</v>
      </c>
      <c r="F5" s="4">
        <f>F4+Table1[[#This Row],[Change]]</f>
        <v>2965750</v>
      </c>
    </row>
    <row r="6" spans="1:9">
      <c r="A6" s="9">
        <v>43355</v>
      </c>
      <c r="B6" s="5" t="s">
        <v>11</v>
      </c>
      <c r="C6" s="4">
        <f>1*400000 + 1*140000</f>
        <v>540000</v>
      </c>
      <c r="D6" s="4">
        <f>D5 + Table1[[#This Row],[Bet Value]]</f>
        <v>2960000</v>
      </c>
      <c r="E6" s="4">
        <f>-540000+54000</f>
        <v>-486000</v>
      </c>
      <c r="F6" s="4">
        <f>F5+Table1[[#This Row],[Change]]</f>
        <v>2479750</v>
      </c>
    </row>
    <row r="7" spans="1:9">
      <c r="A7" s="9">
        <v>43365</v>
      </c>
      <c r="B7" s="5" t="s">
        <v>12</v>
      </c>
      <c r="C7" s="4">
        <f>2*400000 + 2*140000</f>
        <v>1080000</v>
      </c>
      <c r="D7" s="4">
        <f>D6 + Table1[[#This Row],[Bet Value]]</f>
        <v>4040000</v>
      </c>
      <c r="E7" s="4">
        <f>-1080000+108000</f>
        <v>-972000</v>
      </c>
      <c r="F7" s="4">
        <f>F6+Table1[[#This Row],[Change]]</f>
        <v>1507750</v>
      </c>
    </row>
    <row r="8" spans="1:9">
      <c r="A8" s="9">
        <v>43369</v>
      </c>
      <c r="B8" s="5" t="s">
        <v>13</v>
      </c>
      <c r="C8" s="4">
        <f>4*400000 + 1*140000</f>
        <v>1740000</v>
      </c>
      <c r="D8" s="4">
        <f>D7 + Table1[[#This Row],[Bet Value]]</f>
        <v>5780000</v>
      </c>
      <c r="E8" s="4">
        <f>-145000+134000</f>
        <v>-11000</v>
      </c>
      <c r="F8" s="4">
        <f>F7+Table1[[#This Row],[Change]]</f>
        <v>1496750</v>
      </c>
    </row>
    <row r="9" spans="1:9">
      <c r="A9" s="9">
        <v>43374</v>
      </c>
      <c r="B9" s="5" t="s">
        <v>12</v>
      </c>
      <c r="C9" s="4">
        <f>2*400000</f>
        <v>800000</v>
      </c>
      <c r="D9" s="4">
        <f>D8 + Table1[[#This Row],[Bet Value]]</f>
        <v>6580000</v>
      </c>
      <c r="E9" s="4">
        <f>-800000+80000</f>
        <v>-720000</v>
      </c>
      <c r="F9" s="4">
        <f>F8+Table1[[#This Row],[Change]]</f>
        <v>776750</v>
      </c>
    </row>
    <row r="10" spans="1:9">
      <c r="A10" s="9">
        <v>43376</v>
      </c>
      <c r="B10" s="5" t="s">
        <v>11</v>
      </c>
      <c r="C10" s="4">
        <f>1*400000+2*140000</f>
        <v>680000</v>
      </c>
      <c r="D10" s="4">
        <f>D9 + Table1[[#This Row],[Bet Value]]</f>
        <v>7260000</v>
      </c>
      <c r="E10" s="4">
        <f>-680000+68000</f>
        <v>-612000</v>
      </c>
      <c r="F10" s="4">
        <f>F9+Table1[[#This Row],[Change]]</f>
        <v>164750</v>
      </c>
    </row>
    <row r="11" spans="1:9">
      <c r="A11" s="9">
        <v>43380</v>
      </c>
      <c r="B11" s="5" t="s">
        <v>14</v>
      </c>
      <c r="C11" s="4">
        <f>2*400000+1*140000</f>
        <v>940000</v>
      </c>
      <c r="D11" s="4">
        <f>D10 + Table1[[#This Row],[Bet Value]]</f>
        <v>8200000</v>
      </c>
      <c r="E11" s="4">
        <f>-340000+54000</f>
        <v>-286000</v>
      </c>
      <c r="F11" s="4">
        <f>F10+Table1[[#This Row],[Change]]</f>
        <v>-121250</v>
      </c>
    </row>
    <row r="12" spans="1:9">
      <c r="A12" s="9">
        <v>43383</v>
      </c>
      <c r="B12" s="5" t="s">
        <v>15</v>
      </c>
      <c r="C12" s="4">
        <f>3*400000+0*140000</f>
        <v>1200000</v>
      </c>
      <c r="D12" s="4">
        <f>D11 + Table1[[#This Row],[Bet Value]]</f>
        <v>9400000</v>
      </c>
      <c r="E12" s="4">
        <f>350000+40000</f>
        <v>390000</v>
      </c>
      <c r="F12" s="4">
        <f>F11+Table1[[#This Row],[Change]]</f>
        <v>268750</v>
      </c>
    </row>
    <row r="13" spans="1:9">
      <c r="A13" s="9">
        <v>43386</v>
      </c>
      <c r="B13" s="5" t="s">
        <v>12</v>
      </c>
      <c r="C13" s="4">
        <f>2*400000+2*140000</f>
        <v>1080000</v>
      </c>
      <c r="D13" s="4">
        <f>D12 + Table1[[#This Row],[Bet Value]]</f>
        <v>10480000</v>
      </c>
      <c r="E13" s="4">
        <f>-1080000+108000</f>
        <v>-972000</v>
      </c>
      <c r="F13" s="4">
        <f>F12+Table1[[#This Row],[Change]]</f>
        <v>-703250</v>
      </c>
    </row>
    <row r="14" spans="1:9">
      <c r="A14" s="9">
        <v>43391</v>
      </c>
      <c r="B14" s="5" t="s">
        <v>16</v>
      </c>
      <c r="C14" s="4">
        <f>3*400000+0*140000</f>
        <v>1200000</v>
      </c>
      <c r="D14" s="4">
        <f>D13 + Table1[[#This Row],[Bet Value]]</f>
        <v>11680000</v>
      </c>
      <c r="E14" s="4">
        <f>-360000+80000</f>
        <v>-280000</v>
      </c>
      <c r="F14" s="4">
        <f>F13+Table1[[#This Row],[Change]]</f>
        <v>-983250</v>
      </c>
    </row>
    <row r="15" spans="1:9">
      <c r="A15" s="9">
        <v>43394</v>
      </c>
      <c r="B15" s="5" t="s">
        <v>11</v>
      </c>
      <c r="C15" s="4">
        <f>1*400000+1*140000</f>
        <v>540000</v>
      </c>
      <c r="D15" s="4">
        <f>D14 + Table1[[#This Row],[Bet Value]]</f>
        <v>12220000</v>
      </c>
      <c r="E15" s="4">
        <f>-540000+54000</f>
        <v>-486000</v>
      </c>
      <c r="F15" s="4">
        <f>F14+Table1[[#This Row],[Change]]</f>
        <v>-1469250</v>
      </c>
    </row>
    <row r="16" spans="1:9">
      <c r="A16" s="9">
        <v>43397</v>
      </c>
      <c r="B16" s="5" t="s">
        <v>14</v>
      </c>
      <c r="C16" s="4">
        <f>2*400000+0*140000</f>
        <v>800000</v>
      </c>
      <c r="D16" s="4">
        <f>D15 + Table1[[#This Row],[Bet Value]]</f>
        <v>13020000</v>
      </c>
      <c r="E16" s="4">
        <f>-275000+40000</f>
        <v>-235000</v>
      </c>
      <c r="F16" s="4">
        <f>F15+Table1[[#This Row],[Change]]</f>
        <v>-1704250</v>
      </c>
    </row>
    <row r="17" spans="1:6">
      <c r="A17" s="9">
        <v>43401</v>
      </c>
      <c r="B17" s="5" t="s">
        <v>10</v>
      </c>
      <c r="C17" s="4">
        <f>1*400000+0*140000</f>
        <v>400000</v>
      </c>
      <c r="D17" s="4">
        <f>D16 + Table1[[#This Row],[Bet Value]]</f>
        <v>13420000</v>
      </c>
      <c r="E17" s="4">
        <f>645000+0</f>
        <v>645000</v>
      </c>
      <c r="F17" s="4">
        <f>F16+Table1[[#This Row],[Change]]</f>
        <v>-1059250</v>
      </c>
    </row>
    <row r="18" spans="1:6">
      <c r="A18" s="9">
        <v>43404</v>
      </c>
      <c r="B18" s="5" t="s">
        <v>17</v>
      </c>
      <c r="C18" s="4">
        <f>2*400000+2*140000</f>
        <v>1080000</v>
      </c>
      <c r="D18" s="4">
        <f>D17 + Table1[[#This Row],[Bet Value]]</f>
        <v>14500000</v>
      </c>
      <c r="E18" s="4">
        <f>1320000+28000</f>
        <v>1348000</v>
      </c>
      <c r="F18" s="4">
        <f>F17+Table1[[#This Row],[Change]]</f>
        <v>288750</v>
      </c>
    </row>
    <row r="19" spans="1:6">
      <c r="A19" s="9">
        <v>43408</v>
      </c>
      <c r="B19" s="5" t="s">
        <v>14</v>
      </c>
      <c r="C19" s="4">
        <f>2*400000+1*140000</f>
        <v>940000</v>
      </c>
      <c r="D19" s="4">
        <f>D18 + Table1[[#This Row],[Bet Value]]</f>
        <v>15440000</v>
      </c>
      <c r="E19" s="4">
        <f>-55000+54000</f>
        <v>-1000</v>
      </c>
      <c r="F19" s="4">
        <f>F18+Table1[[#This Row],[Change]]</f>
        <v>287750</v>
      </c>
    </row>
    <row r="20" spans="1:6">
      <c r="A20" s="9">
        <v>43411</v>
      </c>
      <c r="B20" s="5" t="s">
        <v>12</v>
      </c>
      <c r="C20" s="4">
        <f>2*400000+0*140000</f>
        <v>800000</v>
      </c>
      <c r="D20" s="4">
        <f>D19 + Table1[[#This Row],[Bet Value]]</f>
        <v>16240000</v>
      </c>
      <c r="E20" s="4">
        <f>-800000+80000</f>
        <v>-720000</v>
      </c>
      <c r="F20" s="4">
        <f>F19+Table1[[#This Row],[Change]]</f>
        <v>-432250</v>
      </c>
    </row>
    <row r="21" spans="1:6">
      <c r="A21" s="9">
        <v>43414</v>
      </c>
      <c r="B21" s="5" t="s">
        <v>18</v>
      </c>
      <c r="C21" s="4">
        <f>3*400000+2*140000</f>
        <v>1480000</v>
      </c>
      <c r="D21" s="4">
        <f>D20 + Table1[[#This Row],[Bet Value]]</f>
        <v>17720000</v>
      </c>
      <c r="E21" s="4">
        <f>-640000+108000</f>
        <v>-532000</v>
      </c>
      <c r="F21" s="4">
        <f>F20+Table1[[#This Row],[Change]]</f>
        <v>-964250</v>
      </c>
    </row>
    <row r="22" spans="1:6">
      <c r="A22" s="9">
        <v>43418</v>
      </c>
      <c r="B22" s="5" t="s">
        <v>12</v>
      </c>
      <c r="C22" s="4">
        <f>2*400000+0*140000</f>
        <v>800000</v>
      </c>
      <c r="D22" s="4">
        <f>D21 + Table1[[#This Row],[Bet Value]]</f>
        <v>18520000</v>
      </c>
      <c r="E22" s="4">
        <f>-800000+80000</f>
        <v>-720000</v>
      </c>
      <c r="F22" s="4">
        <f>F21+Table1[[#This Row],[Change]]</f>
        <v>-1684250</v>
      </c>
    </row>
    <row r="23" spans="1:6">
      <c r="A23" s="9">
        <v>43422</v>
      </c>
      <c r="B23" s="5" t="s">
        <v>10</v>
      </c>
      <c r="C23" s="4">
        <f>1*400000+0*140000</f>
        <v>400000</v>
      </c>
      <c r="D23" s="4">
        <f>D22 + Table1[[#This Row],[Bet Value]]</f>
        <v>18920000</v>
      </c>
      <c r="E23" s="4">
        <f>495000+0</f>
        <v>495000</v>
      </c>
      <c r="F23" s="4">
        <f>F22+Table1[[#This Row],[Change]]</f>
        <v>-1189250</v>
      </c>
    </row>
    <row r="24" spans="1:6">
      <c r="A24" s="9">
        <v>43425</v>
      </c>
      <c r="B24" s="5" t="s">
        <v>12</v>
      </c>
      <c r="C24" s="4">
        <f>2*400000+0*140000</f>
        <v>800000</v>
      </c>
      <c r="D24" s="4">
        <f>D23 + Table1[[#This Row],[Bet Value]]</f>
        <v>19720000</v>
      </c>
      <c r="E24" s="4">
        <f>-800000+80000</f>
        <v>-720000</v>
      </c>
      <c r="F24" s="4">
        <f>F23+Table1[[#This Row],[Change]]</f>
        <v>-1909250</v>
      </c>
    </row>
    <row r="25" spans="1:6">
      <c r="A25" s="9">
        <v>43429</v>
      </c>
      <c r="B25" s="5" t="s">
        <v>11</v>
      </c>
      <c r="C25" s="4">
        <f>1*400000+1*140000</f>
        <v>540000</v>
      </c>
      <c r="D25" s="4">
        <f>D24 + Table1[[#This Row],[Bet Value]]</f>
        <v>20260000</v>
      </c>
      <c r="E25" s="4">
        <f>-540000+54000</f>
        <v>-486000</v>
      </c>
      <c r="F25" s="4">
        <f>F24+Table1[[#This Row],[Change]]</f>
        <v>-2395250</v>
      </c>
    </row>
    <row r="26" spans="1:6">
      <c r="A26" s="9">
        <v>43432</v>
      </c>
      <c r="B26" s="5" t="s">
        <v>8</v>
      </c>
      <c r="C26" s="4">
        <f>2*400000+1*140000</f>
        <v>940000</v>
      </c>
      <c r="D26" s="4">
        <f>D25 + Table1[[#This Row],[Bet Value]]</f>
        <v>21200000</v>
      </c>
      <c r="E26" s="4">
        <f>542000+40000</f>
        <v>582000</v>
      </c>
      <c r="F26" s="4">
        <f>F25+Table1[[#This Row],[Change]]</f>
        <v>-1813250</v>
      </c>
    </row>
    <row r="27" spans="1:6">
      <c r="A27" s="9">
        <v>43436</v>
      </c>
      <c r="B27" s="5" t="s">
        <v>19</v>
      </c>
      <c r="C27" s="4">
        <f>3*400000+1*140000</f>
        <v>1340000</v>
      </c>
      <c r="D27" s="4">
        <f>D26 + Table1[[#This Row],[Bet Value]]</f>
        <v>22540000</v>
      </c>
      <c r="E27" s="4">
        <f>54000-80000</f>
        <v>-26000</v>
      </c>
      <c r="F27" s="4">
        <f>F26+Table1[[#This Row],[Change]]</f>
        <v>-1839250</v>
      </c>
    </row>
    <row r="28" spans="1:6">
      <c r="A28" s="9">
        <v>43439</v>
      </c>
      <c r="B28" s="5" t="s">
        <v>18</v>
      </c>
      <c r="C28" s="4">
        <f>3*400000+1*140000</f>
        <v>1340000</v>
      </c>
      <c r="D28" s="4">
        <f>D27 + Table1[[#This Row],[Bet Value]]</f>
        <v>23880000</v>
      </c>
      <c r="E28" s="4">
        <f>-845000+94000</f>
        <v>-751000</v>
      </c>
      <c r="F28" s="4">
        <f>F27+Table1[[#This Row],[Change]]</f>
        <v>-2590250</v>
      </c>
    </row>
    <row r="29" spans="1:6">
      <c r="A29" s="9">
        <v>43443</v>
      </c>
      <c r="B29" s="5" t="s">
        <v>12</v>
      </c>
      <c r="C29" s="4">
        <f>2*400000+1*140000</f>
        <v>940000</v>
      </c>
      <c r="D29" s="4">
        <f>D28 + Table1[[#This Row],[Bet Value]]</f>
        <v>24820000</v>
      </c>
      <c r="E29" s="4">
        <f>-940000+94000</f>
        <v>-846000</v>
      </c>
      <c r="F29" s="4">
        <f>F28+Table1[[#This Row],[Change]]</f>
        <v>-3436250</v>
      </c>
    </row>
    <row r="30" spans="1:6">
      <c r="A30" s="9">
        <v>43446</v>
      </c>
      <c r="B30" s="5" t="s">
        <v>14</v>
      </c>
      <c r="C30" s="4">
        <f>2*400000+1*140000</f>
        <v>940000</v>
      </c>
      <c r="D30" s="4">
        <f>D29 + Table1[[#This Row],[Bet Value]]</f>
        <v>25760000</v>
      </c>
      <c r="E30" s="4">
        <f>-370000+54000</f>
        <v>-316000</v>
      </c>
      <c r="F30" s="4">
        <f>F29+Table1[[#This Row],[Change]]</f>
        <v>-3752250</v>
      </c>
    </row>
    <row r="31" spans="1:6">
      <c r="A31" s="9">
        <v>43450</v>
      </c>
      <c r="B31" s="5" t="s">
        <v>20</v>
      </c>
      <c r="C31" s="4">
        <f>2*400000+2*140000</f>
        <v>1080000</v>
      </c>
      <c r="D31" s="4">
        <f>D30 + Table1[[#This Row],[Bet Value]]</f>
        <v>26840000</v>
      </c>
      <c r="E31" s="4">
        <f>779250+14000</f>
        <v>793250</v>
      </c>
      <c r="F31" s="4">
        <f>F30+Table1[[#This Row],[Change]]</f>
        <v>-2959000</v>
      </c>
    </row>
    <row r="32" spans="1:6">
      <c r="A32" s="9">
        <v>43453</v>
      </c>
      <c r="B32" s="5" t="s">
        <v>12</v>
      </c>
      <c r="C32" s="4">
        <f>2*400000+1*140000</f>
        <v>940000</v>
      </c>
      <c r="D32" s="4">
        <f>D31 + Table1[[#This Row],[Bet Value]]</f>
        <v>27780000</v>
      </c>
      <c r="E32" s="4">
        <f>-940000+94000</f>
        <v>-846000</v>
      </c>
      <c r="F32" s="4">
        <f>F31+Table1[[#This Row],[Change]]</f>
        <v>-3805000</v>
      </c>
    </row>
    <row r="33" spans="1:6">
      <c r="A33" s="9">
        <v>43457</v>
      </c>
      <c r="B33" s="5" t="s">
        <v>21</v>
      </c>
      <c r="C33" s="4">
        <f>2*400000+1*140000</f>
        <v>940000</v>
      </c>
      <c r="D33" s="4">
        <f>D32 + Table1[[#This Row],[Bet Value]]</f>
        <v>28720000</v>
      </c>
      <c r="E33" s="4">
        <f>-20000+54000</f>
        <v>34000</v>
      </c>
      <c r="F33" s="4">
        <f>F32+Table1[[#This Row],[Change]]</f>
        <v>-3771000</v>
      </c>
    </row>
    <row r="34" spans="1:6">
      <c r="A34" s="9">
        <v>43460</v>
      </c>
      <c r="B34" s="5" t="s">
        <v>11</v>
      </c>
      <c r="C34" s="4">
        <f>1*400000+0*140000</f>
        <v>400000</v>
      </c>
      <c r="D34" s="4">
        <f>D33 + Table1[[#This Row],[Bet Value]]</f>
        <v>29120000</v>
      </c>
      <c r="E34" s="4">
        <f>-400000+40000</f>
        <v>-360000</v>
      </c>
      <c r="F34" s="4">
        <f>F33+Table1[[#This Row],[Change]]</f>
        <v>-4131000</v>
      </c>
    </row>
    <row r="35" spans="1:6">
      <c r="A35" s="9">
        <v>43463</v>
      </c>
      <c r="B35" s="5" t="s">
        <v>22</v>
      </c>
      <c r="C35" s="4">
        <f>3*400000+2*140000</f>
        <v>1480000</v>
      </c>
      <c r="D35" s="4">
        <f>D34 + Table1[[#This Row],[Bet Value]]</f>
        <v>30600000</v>
      </c>
      <c r="E35" s="4">
        <f>6506000+14000</f>
        <v>6520000</v>
      </c>
      <c r="F35" s="4">
        <f>F34+Table1[[#This Row],[Change]]</f>
        <v>2389000</v>
      </c>
    </row>
    <row r="36" spans="1:6">
      <c r="A36" s="9">
        <v>43466</v>
      </c>
      <c r="B36" s="5" t="s">
        <v>15</v>
      </c>
      <c r="C36" s="4">
        <f>3*400000+1*140000</f>
        <v>1340000</v>
      </c>
      <c r="D36" s="4">
        <f>D35 + Table1[[#This Row],[Bet Value]]</f>
        <v>31940000</v>
      </c>
      <c r="E36" s="4">
        <f>0+54000</f>
        <v>54000</v>
      </c>
      <c r="F36" s="4">
        <f>F35+Table1[[#This Row],[Change]]</f>
        <v>2443000</v>
      </c>
    </row>
    <row r="37" spans="1:6">
      <c r="A37" s="9">
        <v>43471</v>
      </c>
      <c r="B37" s="5" t="s">
        <v>23</v>
      </c>
      <c r="C37" s="4">
        <f>5*400000+2*140000</f>
        <v>2280000</v>
      </c>
      <c r="D37" s="4">
        <f>D36 + Table1[[#This Row],[Bet Value]]</f>
        <v>34220000</v>
      </c>
      <c r="E37" s="4">
        <f>436250+94000</f>
        <v>530250</v>
      </c>
      <c r="F37" s="4">
        <f>F36+Table1[[#This Row],[Change]]</f>
        <v>2973250</v>
      </c>
    </row>
    <row r="38" spans="1:6">
      <c r="A38" s="9">
        <v>43474</v>
      </c>
      <c r="B38" s="5" t="s">
        <v>24</v>
      </c>
      <c r="C38" s="4">
        <f>2*400000+2*140000</f>
        <v>1080000</v>
      </c>
      <c r="D38" s="4">
        <f>D37 + Table1[[#This Row],[Bet Value]]</f>
        <v>35300000</v>
      </c>
      <c r="E38" s="4">
        <f>-1080000+108000</f>
        <v>-972000</v>
      </c>
      <c r="F38" s="4">
        <f>F37+Table1[[#This Row],[Change]]</f>
        <v>2001250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WagJK</cp:lastModifiedBy>
  <cp:lastPrinted>2014-11-23T14:52:39Z</cp:lastPrinted>
  <dcterms:created xsi:type="dcterms:W3CDTF">2012-09-27T01:49:39Z</dcterms:created>
  <dcterms:modified xsi:type="dcterms:W3CDTF">2019-01-10T01:10:13Z</dcterms:modified>
</cp:coreProperties>
</file>