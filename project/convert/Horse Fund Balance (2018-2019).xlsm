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9126" codeName="{526614CA-9299-8FEA-EDB2-C8A7E91AD4E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WagJK\Desktop\Work\Horse Reports\project\convert\"/>
    </mc:Choice>
  </mc:AlternateContent>
  <xr:revisionPtr revIDLastSave="0" documentId="10_ncr:100000_{2420CED5-3360-4077-873C-7B939EC5AC7E}" xr6:coauthVersionLast="31" xr6:coauthVersionMax="41" xr10:uidLastSave="{00000000-0000-0000-0000-000000000000}"/>
  <bookViews>
    <workbookView xWindow="-90" yWindow="-90" windowWidth="23235" windowHeight="12555" tabRatio="565" xr2:uid="{00000000-000D-0000-FFFF-FFFF00000000}"/>
  </bookViews>
  <sheets>
    <sheet name="Fund" sheetId="1" r:id="rId1"/>
  </sheets>
  <calcPr calcId="179017"/>
</workbook>
</file>

<file path=xl/calcChain.xml><?xml version="1.0" encoding="utf-8"?>
<calcChain xmlns="http://schemas.openxmlformats.org/spreadsheetml/2006/main">
  <c r="I1" i="1" l="1"/>
  <c r="E81" i="1"/>
  <c r="C81" i="1"/>
  <c r="E80" i="1" l="1"/>
  <c r="C80" i="1"/>
  <c r="E79" i="1" l="1"/>
  <c r="C79" i="1"/>
  <c r="C78" i="1" l="1"/>
  <c r="E78" i="1"/>
  <c r="E77" i="1" l="1"/>
  <c r="C77" i="1"/>
  <c r="C76" i="1" l="1"/>
  <c r="E76" i="1"/>
  <c r="E75" i="1" l="1"/>
  <c r="C75" i="1"/>
  <c r="E74" i="1" l="1"/>
  <c r="C74" i="1"/>
  <c r="E73" i="1" l="1"/>
  <c r="C73" i="1"/>
  <c r="E72" i="1" l="1"/>
  <c r="C72" i="1"/>
  <c r="E71" i="1" l="1"/>
  <c r="C71" i="1"/>
  <c r="E70" i="1" l="1"/>
  <c r="C70" i="1"/>
  <c r="E69" i="1" l="1"/>
  <c r="C69" i="1"/>
  <c r="E68" i="1" l="1"/>
  <c r="C68" i="1"/>
  <c r="E67" i="1" l="1"/>
  <c r="C67" i="1"/>
  <c r="E66" i="1" l="1"/>
  <c r="C66" i="1"/>
  <c r="E65" i="1" l="1"/>
  <c r="C65" i="1"/>
  <c r="C64" i="1" l="1"/>
  <c r="E64" i="1"/>
  <c r="E63" i="1" l="1"/>
  <c r="C63" i="1"/>
  <c r="E62" i="1" l="1"/>
  <c r="C62" i="1"/>
  <c r="E61" i="1" l="1"/>
  <c r="C61" i="1"/>
  <c r="E60" i="1" l="1"/>
  <c r="C60" i="1"/>
  <c r="E59" i="1" l="1"/>
  <c r="C59" i="1"/>
  <c r="E58" i="1" l="1"/>
  <c r="C58" i="1"/>
  <c r="E57" i="1" l="1"/>
  <c r="C57" i="1"/>
  <c r="E56" i="1" l="1"/>
  <c r="C56" i="1"/>
  <c r="E55" i="1" l="1"/>
  <c r="C55" i="1"/>
  <c r="C36" i="1"/>
  <c r="E36" i="1"/>
  <c r="E54" i="1" l="1"/>
  <c r="C54" i="1"/>
  <c r="E53" i="1" l="1"/>
  <c r="C53" i="1"/>
  <c r="E52" i="1" l="1"/>
  <c r="C52" i="1"/>
  <c r="E51" i="1" l="1"/>
  <c r="C51" i="1"/>
  <c r="E50" i="1" l="1"/>
  <c r="C50" i="1"/>
  <c r="E49" i="1" l="1"/>
  <c r="C49" i="1"/>
  <c r="E48" i="1" l="1"/>
  <c r="C48" i="1"/>
  <c r="E47" i="1" l="1"/>
  <c r="C47" i="1"/>
  <c r="E46" i="1" l="1"/>
  <c r="C46" i="1"/>
  <c r="E45" i="1" l="1"/>
  <c r="C45" i="1"/>
  <c r="C44" i="1" l="1"/>
  <c r="E44" i="1"/>
  <c r="E43" i="1" l="1"/>
  <c r="C43" i="1"/>
  <c r="E42" i="1" l="1"/>
  <c r="C42" i="1"/>
  <c r="E41" i="1" l="1"/>
  <c r="C41" i="1"/>
  <c r="E40" i="1" l="1"/>
  <c r="C40" i="1"/>
  <c r="C39" i="1" l="1"/>
  <c r="E39" i="1"/>
  <c r="E38" i="1" l="1"/>
  <c r="C38" i="1"/>
  <c r="E37" i="1" l="1"/>
  <c r="C37" i="1"/>
  <c r="E35" i="1" l="1"/>
  <c r="C35" i="1"/>
  <c r="E34" i="1" l="1"/>
  <c r="C34" i="1"/>
  <c r="E33" i="1" l="1"/>
  <c r="C33" i="1" l="1"/>
  <c r="E32" i="1" l="1"/>
  <c r="C32" i="1"/>
  <c r="E31" i="1" l="1"/>
  <c r="C31" i="1"/>
  <c r="E30" i="1" l="1"/>
  <c r="E29" i="1"/>
  <c r="C30" i="1"/>
  <c r="C29" i="1"/>
  <c r="E28" i="1" l="1"/>
  <c r="C28" i="1"/>
  <c r="E27" i="1" l="1"/>
  <c r="C27" i="1"/>
  <c r="E26" i="1" l="1"/>
  <c r="C26" i="1"/>
  <c r="E25" i="1" l="1"/>
  <c r="C25" i="1"/>
  <c r="E24" i="1" l="1"/>
  <c r="C24" i="1"/>
  <c r="E23" i="1" l="1"/>
  <c r="C23" i="1"/>
  <c r="E22" i="1" l="1"/>
  <c r="C22" i="1"/>
  <c r="E21" i="1" l="1"/>
  <c r="C21" i="1"/>
  <c r="E20" i="1" l="1"/>
  <c r="C20" i="1"/>
  <c r="E19" i="1" l="1"/>
  <c r="C19" i="1"/>
  <c r="E18" i="1" l="1"/>
  <c r="C18" i="1"/>
  <c r="E17" i="1" l="1"/>
  <c r="C17" i="1"/>
  <c r="E16" i="1" l="1"/>
  <c r="C16" i="1"/>
  <c r="E15" i="1" l="1"/>
  <c r="C15" i="1"/>
  <c r="E14" i="1" l="1"/>
  <c r="C14" i="1"/>
  <c r="E13" i="1" l="1"/>
  <c r="C13" i="1"/>
  <c r="E12" i="1" l="1"/>
  <c r="C12" i="1"/>
  <c r="E11" i="1" l="1"/>
  <c r="C11" i="1"/>
  <c r="E10" i="1" l="1"/>
  <c r="C10" i="1"/>
  <c r="C9" i="1"/>
  <c r="E9" i="1"/>
  <c r="E8" i="1" l="1"/>
  <c r="C8" i="1"/>
  <c r="E7" i="1" l="1"/>
  <c r="C7" i="1"/>
  <c r="E6" i="1" l="1"/>
  <c r="C6" i="1"/>
  <c r="E5" i="1" l="1"/>
  <c r="C5" i="1"/>
  <c r="E4" i="1" l="1"/>
  <c r="C4" i="1"/>
  <c r="C3" i="1" l="1"/>
  <c r="E3" i="1" l="1"/>
  <c r="D3" i="1" l="1"/>
  <c r="D4" i="1" s="1"/>
  <c r="D5" i="1" s="1"/>
  <c r="D6" i="1" s="1"/>
  <c r="D7" i="1" s="1"/>
  <c r="D8" i="1" s="1"/>
  <c r="D9" i="1" s="1"/>
  <c r="D10" i="1" s="1"/>
  <c r="D11" i="1" s="1"/>
  <c r="D12" i="1" s="1"/>
  <c r="D13" i="1" s="1"/>
  <c r="D14" i="1" s="1"/>
  <c r="D15" i="1" s="1"/>
  <c r="D16" i="1" s="1"/>
  <c r="D17" i="1" s="1"/>
  <c r="D18" i="1" s="1"/>
  <c r="D19" i="1" s="1"/>
  <c r="D20" i="1" s="1"/>
  <c r="D21" i="1" s="1"/>
  <c r="D22" i="1" s="1"/>
  <c r="D23" i="1" s="1"/>
  <c r="D24" i="1" s="1"/>
  <c r="D25" i="1" s="1"/>
  <c r="D26" i="1" s="1"/>
  <c r="D27" i="1" s="1"/>
  <c r="D28" i="1" s="1"/>
  <c r="D29" i="1" s="1"/>
  <c r="D30" i="1" s="1"/>
  <c r="D31" i="1" s="1"/>
  <c r="D32" i="1" s="1"/>
  <c r="D33" i="1" s="1"/>
  <c r="D34" i="1" s="1"/>
  <c r="D35" i="1" s="1"/>
  <c r="F3" i="1"/>
  <c r="D36" i="1" l="1"/>
  <c r="D37" i="1" s="1"/>
  <c r="D38" i="1" s="1"/>
  <c r="D39" i="1" s="1"/>
  <c r="D40" i="1" s="1"/>
  <c r="D41" i="1" s="1"/>
  <c r="D42" i="1" s="1"/>
  <c r="D43" i="1" s="1"/>
  <c r="D44" i="1" s="1"/>
  <c r="D45" i="1" s="1"/>
  <c r="D46" i="1" s="1"/>
  <c r="D47" i="1" s="1"/>
  <c r="D48" i="1" s="1"/>
  <c r="D49" i="1" s="1"/>
  <c r="D50" i="1" s="1"/>
  <c r="D51" i="1" s="1"/>
  <c r="D52" i="1" s="1"/>
  <c r="D53" i="1" s="1"/>
  <c r="D54" i="1" s="1"/>
  <c r="D55" i="1" s="1"/>
  <c r="D56" i="1" s="1"/>
  <c r="D57" i="1" s="1"/>
  <c r="D58" i="1" s="1"/>
  <c r="D59" i="1" s="1"/>
  <c r="D60" i="1" s="1"/>
  <c r="D61" i="1" s="1"/>
  <c r="D62" i="1" s="1"/>
  <c r="D63" i="1" s="1"/>
  <c r="D64" i="1" s="1"/>
  <c r="D65" i="1" s="1"/>
  <c r="D66" i="1" s="1"/>
  <c r="D67" i="1" s="1"/>
  <c r="D68" i="1" s="1"/>
  <c r="D69" i="1" s="1"/>
  <c r="D70" i="1" s="1"/>
  <c r="D71" i="1" s="1"/>
  <c r="D72" i="1" s="1"/>
  <c r="D73" i="1" s="1"/>
  <c r="D74" i="1" s="1"/>
  <c r="D75" i="1" s="1"/>
  <c r="D76" i="1" s="1"/>
  <c r="D77" i="1" s="1"/>
  <c r="D78" i="1" s="1"/>
  <c r="D79" i="1" s="1"/>
  <c r="D80" i="1" s="1"/>
  <c r="D81" i="1" s="1"/>
  <c r="F4" i="1"/>
  <c r="F5" i="1" l="1"/>
  <c r="F6" i="1" l="1"/>
  <c r="F7" i="1" l="1"/>
  <c r="F8" i="1" l="1"/>
  <c r="F9" i="1" l="1"/>
  <c r="F10" i="1" l="1"/>
  <c r="F11" i="1" l="1"/>
  <c r="F12" i="1" l="1"/>
  <c r="F13" i="1" l="1"/>
  <c r="F14" i="1" l="1"/>
  <c r="F15" i="1" l="1"/>
  <c r="F16" i="1" l="1"/>
  <c r="F17" i="1" l="1"/>
  <c r="F18" i="1" l="1"/>
  <c r="F19" i="1" l="1"/>
  <c r="F20" i="1" l="1"/>
  <c r="F21" i="1" l="1"/>
  <c r="F22" i="1" s="1"/>
  <c r="F23" i="1" l="1"/>
  <c r="F24" i="1" l="1"/>
  <c r="F25" i="1" l="1"/>
  <c r="F26" i="1" l="1"/>
  <c r="F27" i="1" l="1"/>
  <c r="F28" i="1" l="1"/>
  <c r="F29" i="1" l="1"/>
  <c r="F30" i="1" l="1"/>
  <c r="F31" i="1" l="1"/>
  <c r="F32" i="1" l="1"/>
  <c r="F33" i="1" l="1"/>
  <c r="F34" i="1" l="1"/>
  <c r="F35" i="1" l="1"/>
  <c r="F36" i="1" s="1"/>
  <c r="F37" i="1" l="1"/>
  <c r="F38" i="1" l="1"/>
  <c r="F39" i="1" l="1"/>
  <c r="F40" i="1" l="1"/>
  <c r="F41" i="1" l="1"/>
  <c r="F42" i="1" l="1"/>
  <c r="F43" i="1" l="1"/>
  <c r="F44" i="1" l="1"/>
  <c r="F45" i="1" l="1"/>
  <c r="F46" i="1" l="1"/>
  <c r="F47" i="1" l="1"/>
  <c r="F48" i="1" l="1"/>
  <c r="F49" i="1" l="1"/>
  <c r="F50" i="1" l="1"/>
  <c r="F51" i="1" l="1"/>
  <c r="F52" i="1" l="1"/>
  <c r="F53" i="1" l="1"/>
  <c r="F54" i="1" l="1"/>
  <c r="F55" i="1" s="1"/>
  <c r="F56" i="1" l="1"/>
  <c r="F57" i="1" l="1"/>
  <c r="F58" i="1" l="1"/>
  <c r="F59" i="1" l="1"/>
  <c r="F60" i="1" l="1"/>
  <c r="F61" i="1" l="1"/>
  <c r="F62" i="1" l="1"/>
  <c r="F63" i="1" l="1"/>
  <c r="F64" i="1" l="1"/>
  <c r="F65" i="1" l="1"/>
  <c r="F66" i="1" l="1"/>
  <c r="F67" i="1" l="1"/>
  <c r="F68" i="1" l="1"/>
  <c r="F69" i="1" l="1"/>
  <c r="F70" i="1" l="1"/>
  <c r="F71" i="1" l="1"/>
  <c r="F72" i="1" l="1"/>
  <c r="F73" i="1" l="1"/>
  <c r="F74" i="1" l="1"/>
  <c r="F75" i="1" l="1"/>
  <c r="F76" i="1" l="1"/>
  <c r="F77" i="1" l="1"/>
  <c r="F78" i="1" l="1"/>
  <c r="F79" i="1" l="1"/>
  <c r="F80" i="1" l="1"/>
  <c r="F81" i="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Data Base (2018-2019)" description="Connection to the 'Data Base (2018-2019)' query in the workbook." type="5" refreshedVersion="6" background="1">
    <dbPr connection="Provider=Microsoft.Mashup.OleDb.1;Data Source=$Workbook$;Location=Data Base (2018-2019);Extended Properties=&quot;&quot;" command="SELECT * FROM [Data Base (2018-2019)]"/>
  </connection>
</connections>
</file>

<file path=xl/sharedStrings.xml><?xml version="1.0" encoding="utf-8"?>
<sst xmlns="http://schemas.openxmlformats.org/spreadsheetml/2006/main" count="91" uniqueCount="42">
  <si>
    <t>Date</t>
  </si>
  <si>
    <t>Result</t>
  </si>
  <si>
    <t>Change</t>
  </si>
  <si>
    <t>Ending Balance</t>
  </si>
  <si>
    <t>-</t>
  </si>
  <si>
    <t>Current Balance</t>
  </si>
  <si>
    <t>Bet Value</t>
  </si>
  <si>
    <t>Accu. Bet Value</t>
  </si>
  <si>
    <t>1P-1PQ-1L</t>
  </si>
  <si>
    <t>1P-1Queue-1L</t>
  </si>
  <si>
    <t>1W</t>
  </si>
  <si>
    <t>1L</t>
  </si>
  <si>
    <t>2L</t>
  </si>
  <si>
    <t>1W-3L</t>
  </si>
  <si>
    <t>1P-1L</t>
  </si>
  <si>
    <t>1W-2P-1L</t>
  </si>
  <si>
    <t>1W-2L</t>
  </si>
  <si>
    <t>2P</t>
  </si>
  <si>
    <t>1P-2L</t>
  </si>
  <si>
    <t>2P-1L</t>
  </si>
  <si>
    <t xml:space="preserve">1W-2P-1PQ </t>
  </si>
  <si>
    <t>1W-1L</t>
  </si>
  <si>
    <t>2W-3P-1Q</t>
  </si>
  <si>
    <t xml:space="preserve">1W-3P-1PQ-2L </t>
  </si>
  <si>
    <t xml:space="preserve">2L </t>
  </si>
  <si>
    <t>3L</t>
  </si>
  <si>
    <t xml:space="preserve">2P-1PQ-2L </t>
  </si>
  <si>
    <t>1W-1Q-2L</t>
  </si>
  <si>
    <t>4P-4L</t>
  </si>
  <si>
    <t xml:space="preserve">1P-1PQ-4L </t>
  </si>
  <si>
    <t xml:space="preserve">3W-3L </t>
  </si>
  <si>
    <t>5L</t>
  </si>
  <si>
    <t>1W-3P-1L</t>
  </si>
  <si>
    <t xml:space="preserve">1W-2P-2L </t>
  </si>
  <si>
    <t>4P</t>
  </si>
  <si>
    <t xml:space="preserve">2W-3P-3L </t>
  </si>
  <si>
    <t xml:space="preserve">2W-5P-2L </t>
  </si>
  <si>
    <t>1W-3P</t>
  </si>
  <si>
    <t xml:space="preserve">1P-1PQ-1L </t>
  </si>
  <si>
    <t>1P</t>
  </si>
  <si>
    <t>\</t>
  </si>
  <si>
    <t>1W-2P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</si>
</sst>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HK$&quot;#,##0.00_);[Red]\(&quot;HK$&quot;#,##0.00\)"/>
    <numFmt numFmtId="165" formatCode="yyyy/m/d;@"/>
  </numFmts>
  <fonts count="4">
    <font>
      <sz val="11"/>
      <color theme="1"/>
      <name val="Calibri"/>
      <family val="2"/>
      <charset val="136"/>
      <scheme val="minor"/>
    </font>
    <font>
      <sz val="11"/>
      <color rgb="FFFF0000"/>
      <name val="Calibri"/>
      <family val="2"/>
      <charset val="136"/>
      <scheme val="minor"/>
    </font>
    <font>
      <sz val="9"/>
      <name val="Calibri"/>
      <family val="3"/>
      <charset val="134"/>
      <scheme val="minor"/>
    </font>
    <font>
      <sz val="11"/>
      <name val="Calibri"/>
      <family val="2"/>
      <charset val="136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164" fontId="0" fillId="0" borderId="0" xfId="0" applyNumberFormat="1"/>
    <xf numFmtId="49" fontId="0" fillId="0" borderId="0" xfId="0" applyNumberFormat="1"/>
    <xf numFmtId="0" fontId="1" fillId="2" borderId="0" xfId="0" applyFont="1" applyFill="1"/>
    <xf numFmtId="164" fontId="1" fillId="2" borderId="0" xfId="0" applyNumberFormat="1" applyFont="1" applyFill="1"/>
    <xf numFmtId="16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165" fontId="0" fillId="0" borderId="0" xfId="0" applyNumberFormat="1"/>
    <xf numFmtId="165" fontId="3" fillId="0" borderId="0" xfId="0" applyNumberFormat="1" applyFont="1" applyAlignment="1">
      <alignment horizontal="center"/>
    </xf>
  </cellXfs>
  <cellStyles count="1">
    <cellStyle name="常规" xfId="0" builtinId="0"/>
  </cellStyles>
  <dxfs count="12">
    <dxf>
      <numFmt numFmtId="164" formatCode="&quot;HK$&quot;#,##0.00_);[Red]\(&quot;HK$&quot;#,##0.00\)"/>
    </dxf>
    <dxf>
      <numFmt numFmtId="164" formatCode="&quot;HK$&quot;#,##0.00_);[Red]\(&quot;HK$&quot;#,##0.00\)"/>
    </dxf>
    <dxf>
      <numFmt numFmtId="164" formatCode="&quot;HK$&quot;#,##0.00_);[Red]\(&quot;HK$&quot;#,##0.00\)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30" formatCode="@"/>
    </dxf>
    <dxf>
      <numFmt numFmtId="30" formatCode="@"/>
    </dxf>
    <dxf>
      <numFmt numFmtId="166" formatCode="yyyy/m/d"/>
      <alignment horizontal="center" vertical="bottom" textRotation="0" wrapText="0" indent="0" justifyLastLine="0" shrinkToFit="0" readingOrder="0"/>
    </dxf>
    <dxf>
      <numFmt numFmtId="165" formatCode="yyyy/m/d;@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connections" Target="connection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Horse Fund Balance</a:t>
            </a:r>
            <a:endParaRPr lang="zh-CN"/>
          </a:p>
        </c:rich>
      </c:tx>
      <c:layout>
        <c:manualLayout>
          <c:xMode val="edge"/>
          <c:yMode val="edge"/>
          <c:x val="0.3211472868217054"/>
          <c:y val="3.795966785290635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3170811364139678"/>
          <c:y val="0.17884006322463056"/>
          <c:w val="0.81231099196800005"/>
          <c:h val="0.69885722917844506"/>
        </c:manualLayout>
      </c:layout>
      <c:lineChart>
        <c:grouping val="standard"/>
        <c:varyColors val="0"/>
        <c:ser>
          <c:idx val="0"/>
          <c:order val="0"/>
          <c:marker>
            <c:symbol val="none"/>
          </c:marker>
          <c:cat>
            <c:strRef>
              <c:f>Fund!$A$2:$A$82</c:f>
              <c:strCache>
                <c:ptCount val="80"/>
                <c:pt idx="0">
                  <c:v>-</c:v>
                </c:pt>
                <c:pt idx="1">
                  <c:v>2018/9/2</c:v>
                </c:pt>
                <c:pt idx="2">
                  <c:v>2018/9/5</c:v>
                </c:pt>
                <c:pt idx="3">
                  <c:v>2018/9/9</c:v>
                </c:pt>
                <c:pt idx="4">
                  <c:v>2018/9/12</c:v>
                </c:pt>
                <c:pt idx="5">
                  <c:v>2018/9/22</c:v>
                </c:pt>
                <c:pt idx="6">
                  <c:v>2018/9/26</c:v>
                </c:pt>
                <c:pt idx="7">
                  <c:v>2018/10/1</c:v>
                </c:pt>
                <c:pt idx="8">
                  <c:v>2018/10/3</c:v>
                </c:pt>
                <c:pt idx="9">
                  <c:v>2018/10/7</c:v>
                </c:pt>
                <c:pt idx="10">
                  <c:v>2018/10/10</c:v>
                </c:pt>
                <c:pt idx="11">
                  <c:v>2018/10/13</c:v>
                </c:pt>
                <c:pt idx="12">
                  <c:v>2018/10/18</c:v>
                </c:pt>
                <c:pt idx="13">
                  <c:v>2018/10/21</c:v>
                </c:pt>
                <c:pt idx="14">
                  <c:v>2018/10/24</c:v>
                </c:pt>
                <c:pt idx="15">
                  <c:v>2018/10/28</c:v>
                </c:pt>
                <c:pt idx="16">
                  <c:v>2018/10/31</c:v>
                </c:pt>
                <c:pt idx="17">
                  <c:v>2018/11/4</c:v>
                </c:pt>
                <c:pt idx="18">
                  <c:v>2018/11/7</c:v>
                </c:pt>
                <c:pt idx="19">
                  <c:v>2018/11/10</c:v>
                </c:pt>
                <c:pt idx="20">
                  <c:v>2018/11/14</c:v>
                </c:pt>
                <c:pt idx="21">
                  <c:v>2018/11/18</c:v>
                </c:pt>
                <c:pt idx="22">
                  <c:v>2018/11/21</c:v>
                </c:pt>
                <c:pt idx="23">
                  <c:v>2018/11/25</c:v>
                </c:pt>
                <c:pt idx="24">
                  <c:v>2018/11/28</c:v>
                </c:pt>
                <c:pt idx="25">
                  <c:v>2018/12/2</c:v>
                </c:pt>
                <c:pt idx="26">
                  <c:v>2018/12/5</c:v>
                </c:pt>
                <c:pt idx="27">
                  <c:v>2018/12/9</c:v>
                </c:pt>
                <c:pt idx="28">
                  <c:v>2018/12/12</c:v>
                </c:pt>
                <c:pt idx="29">
                  <c:v>2018/12/16</c:v>
                </c:pt>
                <c:pt idx="30">
                  <c:v>2018/12/19</c:v>
                </c:pt>
                <c:pt idx="31">
                  <c:v>2018/12/23</c:v>
                </c:pt>
                <c:pt idx="32">
                  <c:v>2018/12/26</c:v>
                </c:pt>
                <c:pt idx="33">
                  <c:v>2018/12/29</c:v>
                </c:pt>
                <c:pt idx="34">
                  <c:v>2019/1/1</c:v>
                </c:pt>
                <c:pt idx="35">
                  <c:v>2019/1/6</c:v>
                </c:pt>
                <c:pt idx="36">
                  <c:v>2019/1/9</c:v>
                </c:pt>
                <c:pt idx="37">
                  <c:v>2019/1/12</c:v>
                </c:pt>
                <c:pt idx="38">
                  <c:v>2019/1/16</c:v>
                </c:pt>
                <c:pt idx="39">
                  <c:v>2019/1/20</c:v>
                </c:pt>
                <c:pt idx="40">
                  <c:v>2019/1/23</c:v>
                </c:pt>
                <c:pt idx="41">
                  <c:v>2019/1/27</c:v>
                </c:pt>
                <c:pt idx="42">
                  <c:v>2019/1/30</c:v>
                </c:pt>
                <c:pt idx="43">
                  <c:v>2019/2/2</c:v>
                </c:pt>
                <c:pt idx="44">
                  <c:v>2019/2/7</c:v>
                </c:pt>
                <c:pt idx="45">
                  <c:v>2019/2/10</c:v>
                </c:pt>
                <c:pt idx="46">
                  <c:v>2019/2/13</c:v>
                </c:pt>
                <c:pt idx="47">
                  <c:v>2019/2/17</c:v>
                </c:pt>
                <c:pt idx="48">
                  <c:v>2019/2/20</c:v>
                </c:pt>
                <c:pt idx="49">
                  <c:v>2019/2/24</c:v>
                </c:pt>
                <c:pt idx="50">
                  <c:v>2019/2/27</c:v>
                </c:pt>
                <c:pt idx="51">
                  <c:v>2019/3/2</c:v>
                </c:pt>
                <c:pt idx="52">
                  <c:v>2019/3/6</c:v>
                </c:pt>
                <c:pt idx="53">
                  <c:v>2019/3/10</c:v>
                </c:pt>
                <c:pt idx="54">
                  <c:v>2019/3/13</c:v>
                </c:pt>
                <c:pt idx="55">
                  <c:v>2019/3/17</c:v>
                </c:pt>
                <c:pt idx="56">
                  <c:v>2019/3/20</c:v>
                </c:pt>
                <c:pt idx="57">
                  <c:v>2019/3/24</c:v>
                </c:pt>
                <c:pt idx="58">
                  <c:v>2019/3/27</c:v>
                </c:pt>
                <c:pt idx="59">
                  <c:v>2019/3/31</c:v>
                </c:pt>
                <c:pt idx="60">
                  <c:v>2019/4/3</c:v>
                </c:pt>
                <c:pt idx="61">
                  <c:v>2019/4/7</c:v>
                </c:pt>
                <c:pt idx="62">
                  <c:v>2019/4/10</c:v>
                </c:pt>
                <c:pt idx="63">
                  <c:v>2019/4/14</c:v>
                </c:pt>
                <c:pt idx="64">
                  <c:v>2019/4/17</c:v>
                </c:pt>
                <c:pt idx="65">
                  <c:v>2019/4/22</c:v>
                </c:pt>
                <c:pt idx="66">
                  <c:v>2019/4/24</c:v>
                </c:pt>
                <c:pt idx="67">
                  <c:v>2019/4/28</c:v>
                </c:pt>
                <c:pt idx="68">
                  <c:v>2019/5/1</c:v>
                </c:pt>
                <c:pt idx="69">
                  <c:v>2019/5/5</c:v>
                </c:pt>
                <c:pt idx="70">
                  <c:v>2019/5/8</c:v>
                </c:pt>
                <c:pt idx="71">
                  <c:v>2019/5/11</c:v>
                </c:pt>
                <c:pt idx="72">
                  <c:v>2019/5/15</c:v>
                </c:pt>
                <c:pt idx="73">
                  <c:v>2019/5/18</c:v>
                </c:pt>
                <c:pt idx="74">
                  <c:v>2019/5/22</c:v>
                </c:pt>
                <c:pt idx="75">
                  <c:v>2019/5/26</c:v>
                </c:pt>
                <c:pt idx="76">
                  <c:v>2019/5/29</c:v>
                </c:pt>
                <c:pt idx="77">
                  <c:v>2019/6/2</c:v>
                </c:pt>
                <c:pt idx="78">
                  <c:v>2019/6/5</c:v>
                </c:pt>
                <c:pt idx="79">
                  <c:v>2019/6/8</c:v>
                </c:pt>
              </c:strCache>
            </c:strRef>
          </c:cat>
          <c:val>
            <c:numRef>
              <c:f>Fund!$F$2:$F$82</c:f>
              <c:numCache>
                <c:formatCode>General</c:formatCode>
                <c:ptCount val="81"/>
                <c:pt idx="0">
                  <c:v>0</c:v>
                </c:pt>
                <c:pt idx="1">
                  <c:v>1314000</c:v>
                </c:pt>
                <c:pt idx="2">
                  <c:v>2470750</c:v>
                </c:pt>
                <c:pt idx="3">
                  <c:v>2965750</c:v>
                </c:pt>
                <c:pt idx="4">
                  <c:v>2479750</c:v>
                </c:pt>
                <c:pt idx="5">
                  <c:v>1507750</c:v>
                </c:pt>
                <c:pt idx="6">
                  <c:v>1496750</c:v>
                </c:pt>
                <c:pt idx="7">
                  <c:v>776750</c:v>
                </c:pt>
                <c:pt idx="8">
                  <c:v>164750</c:v>
                </c:pt>
                <c:pt idx="9">
                  <c:v>-121250</c:v>
                </c:pt>
                <c:pt idx="10">
                  <c:v>268750</c:v>
                </c:pt>
                <c:pt idx="11">
                  <c:v>-703250</c:v>
                </c:pt>
                <c:pt idx="12">
                  <c:v>-983250</c:v>
                </c:pt>
                <c:pt idx="13">
                  <c:v>-1469250</c:v>
                </c:pt>
                <c:pt idx="14">
                  <c:v>-1704250</c:v>
                </c:pt>
                <c:pt idx="15">
                  <c:v>-1059250</c:v>
                </c:pt>
                <c:pt idx="16">
                  <c:v>288750</c:v>
                </c:pt>
                <c:pt idx="17">
                  <c:v>287750</c:v>
                </c:pt>
                <c:pt idx="18">
                  <c:v>-432250</c:v>
                </c:pt>
                <c:pt idx="19">
                  <c:v>-964250</c:v>
                </c:pt>
                <c:pt idx="20">
                  <c:v>-1684250</c:v>
                </c:pt>
                <c:pt idx="21">
                  <c:v>-1189250</c:v>
                </c:pt>
                <c:pt idx="22">
                  <c:v>-1909250</c:v>
                </c:pt>
                <c:pt idx="23">
                  <c:v>-2395250</c:v>
                </c:pt>
                <c:pt idx="24">
                  <c:v>-1813250</c:v>
                </c:pt>
                <c:pt idx="25">
                  <c:v>-1839250</c:v>
                </c:pt>
                <c:pt idx="26">
                  <c:v>-2590250</c:v>
                </c:pt>
                <c:pt idx="27">
                  <c:v>-3436250</c:v>
                </c:pt>
                <c:pt idx="28">
                  <c:v>-3752250</c:v>
                </c:pt>
                <c:pt idx="29">
                  <c:v>-2959000</c:v>
                </c:pt>
                <c:pt idx="30">
                  <c:v>-3805000</c:v>
                </c:pt>
                <c:pt idx="31">
                  <c:v>-3771000</c:v>
                </c:pt>
                <c:pt idx="32">
                  <c:v>-4131000</c:v>
                </c:pt>
                <c:pt idx="33">
                  <c:v>2389000</c:v>
                </c:pt>
                <c:pt idx="34">
                  <c:v>2443000</c:v>
                </c:pt>
                <c:pt idx="35">
                  <c:v>2973250</c:v>
                </c:pt>
                <c:pt idx="36">
                  <c:v>2001250</c:v>
                </c:pt>
                <c:pt idx="37">
                  <c:v>1029250</c:v>
                </c:pt>
                <c:pt idx="38">
                  <c:v>-302750</c:v>
                </c:pt>
                <c:pt idx="39">
                  <c:v>492250</c:v>
                </c:pt>
                <c:pt idx="40">
                  <c:v>250250</c:v>
                </c:pt>
                <c:pt idx="41">
                  <c:v>-351750</c:v>
                </c:pt>
                <c:pt idx="42">
                  <c:v>524250</c:v>
                </c:pt>
                <c:pt idx="43">
                  <c:v>1732500</c:v>
                </c:pt>
                <c:pt idx="44">
                  <c:v>789500</c:v>
                </c:pt>
                <c:pt idx="45">
                  <c:v>-670000</c:v>
                </c:pt>
                <c:pt idx="46">
                  <c:v>195000</c:v>
                </c:pt>
                <c:pt idx="47">
                  <c:v>-1983000</c:v>
                </c:pt>
                <c:pt idx="48">
                  <c:v>-2479000</c:v>
                </c:pt>
                <c:pt idx="49">
                  <c:v>-2329000</c:v>
                </c:pt>
                <c:pt idx="50">
                  <c:v>-2204000</c:v>
                </c:pt>
                <c:pt idx="51">
                  <c:v>-1716000</c:v>
                </c:pt>
                <c:pt idx="52">
                  <c:v>-2562000</c:v>
                </c:pt>
                <c:pt idx="53">
                  <c:v>-3660000</c:v>
                </c:pt>
                <c:pt idx="54">
                  <c:v>-2886000</c:v>
                </c:pt>
                <c:pt idx="55">
                  <c:v>-4344000</c:v>
                </c:pt>
                <c:pt idx="56">
                  <c:v>-5550000</c:v>
                </c:pt>
                <c:pt idx="57">
                  <c:v>-5890000</c:v>
                </c:pt>
                <c:pt idx="58">
                  <c:v>-7222000</c:v>
                </c:pt>
                <c:pt idx="59">
                  <c:v>-6757000</c:v>
                </c:pt>
                <c:pt idx="60">
                  <c:v>-7074000</c:v>
                </c:pt>
                <c:pt idx="61">
                  <c:v>-7249000</c:v>
                </c:pt>
                <c:pt idx="62">
                  <c:v>-7679000</c:v>
                </c:pt>
                <c:pt idx="63">
                  <c:v>-6047000</c:v>
                </c:pt>
                <c:pt idx="64">
                  <c:v>-4622000</c:v>
                </c:pt>
                <c:pt idx="65">
                  <c:v>-5514000</c:v>
                </c:pt>
                <c:pt idx="66">
                  <c:v>-6486000</c:v>
                </c:pt>
                <c:pt idx="67">
                  <c:v>-6031500</c:v>
                </c:pt>
                <c:pt idx="68">
                  <c:v>-5996500</c:v>
                </c:pt>
                <c:pt idx="69">
                  <c:v>-6546500</c:v>
                </c:pt>
                <c:pt idx="70">
                  <c:v>-6546500</c:v>
                </c:pt>
                <c:pt idx="71">
                  <c:v>-6906500</c:v>
                </c:pt>
                <c:pt idx="72">
                  <c:v>-6121500</c:v>
                </c:pt>
                <c:pt idx="73">
                  <c:v>-7093500</c:v>
                </c:pt>
                <c:pt idx="74">
                  <c:v>-6138500</c:v>
                </c:pt>
                <c:pt idx="75">
                  <c:v>-6624500</c:v>
                </c:pt>
                <c:pt idx="76">
                  <c:v>-5664500</c:v>
                </c:pt>
                <c:pt idx="77">
                  <c:v>-6226500</c:v>
                </c:pt>
                <c:pt idx="78">
                  <c:v>-6712500</c:v>
                </c:pt>
                <c:pt idx="79">
                  <c:v>-7432500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1AA-4295-8589-A6766B756C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0400664"/>
        <c:axId val="310397528"/>
      </c:lineChart>
      <c:catAx>
        <c:axId val="31040066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crossAx val="310397528"/>
        <c:crosses val="autoZero"/>
        <c:auto val="1"/>
        <c:lblAlgn val="ctr"/>
        <c:lblOffset val="100"/>
        <c:noMultiLvlLbl val="0"/>
      </c:catAx>
      <c:valAx>
        <c:axId val="310397528"/>
        <c:scaling>
          <c:orientation val="minMax"/>
          <c:max val="8000000"/>
          <c:min val="-8000000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crossAx val="310400664"/>
        <c:crosses val="autoZero"/>
        <c:crossBetween val="between"/>
        <c:majorUnit val="1000000"/>
      </c:valAx>
    </c:plotArea>
    <c:plotVisOnly val="1"/>
    <c:dispBlanksAs val="gap"/>
    <c:showDLblsOverMax val="0"/>
  </c:chart>
  <c:printSettings>
    <c:headerFooter/>
    <c:pageMargins b="0.75000000000001277" l="0.70000000000000062" r="0.70000000000000062" t="0.75000000000001277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209547</xdr:colOff>
      <xdr:row>2</xdr:row>
      <xdr:rowOff>119167</xdr:rowOff>
    </xdr:from>
    <xdr:to>
      <xdr:col>14</xdr:col>
      <xdr:colOff>112395</xdr:colOff>
      <xdr:row>28</xdr:row>
      <xdr:rowOff>66675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F81" totalsRowShown="0" headerRowDxfId="11">
  <tableColumns count="6">
    <tableColumn id="1" xr3:uid="{00000000-0010-0000-0000-000001000000}" name="Date" dataDxfId="10" totalsRowDxfId="9"/>
    <tableColumn id="2" xr3:uid="{00000000-0010-0000-0000-000002000000}" name="Result" dataDxfId="8" totalsRowDxfId="7"/>
    <tableColumn id="6" xr3:uid="{00000000-0010-0000-0000-000006000000}" name="Bet Value" dataDxfId="6" totalsRowDxfId="5">
      <calculatedColumnFormula>4*96000+1*32000</calculatedColumnFormula>
    </tableColumn>
    <tableColumn id="4" xr3:uid="{00000000-0010-0000-0000-000004000000}" name="Accu. Bet Value" dataDxfId="4" totalsRowDxfId="3">
      <calculatedColumnFormula>D1+Table1[[#This Row],[Bet Value]]</calculatedColumnFormula>
    </tableColumn>
    <tableColumn id="3" xr3:uid="{00000000-0010-0000-0000-000003000000}" name="Change" dataDxfId="2"/>
    <tableColumn id="5" xr3:uid="{00000000-0010-0000-0000-000005000000}" name="Ending Balance" dataDxfId="1" totalsRowDxfId="0"/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81"/>
  <sheetViews>
    <sheetView tabSelected="1" zoomScaleNormal="100" workbookViewId="0"/>
  </sheetViews>
  <sheetFormatPr defaultRowHeight="15"/>
  <cols>
    <col min="1" max="1" width="12.7109375" style="7" customWidth="1"/>
    <col min="2" max="2" width="22.28515625" style="2" customWidth="1"/>
    <col min="3" max="3" width="18.42578125" style="1" customWidth="1"/>
    <col min="4" max="4" width="18" style="1" customWidth="1"/>
    <col min="5" max="5" width="17.42578125" customWidth="1"/>
    <col min="6" max="7" width="19.140625" customWidth="1"/>
    <col min="8" max="8" width="17.140625" customWidth="1"/>
    <col min="9" max="9" width="22.7109375" customWidth="1"/>
  </cols>
  <sheetData>
    <row r="1" spans="1:9">
      <c r="A1" s="8" t="s">
        <v>0</v>
      </c>
      <c r="B1" s="5" t="s">
        <v>1</v>
      </c>
      <c r="C1" s="5" t="s">
        <v>6</v>
      </c>
      <c r="D1" s="5" t="s">
        <v>7</v>
      </c>
      <c r="E1" s="5" t="s">
        <v>2</v>
      </c>
      <c r="F1" s="5" t="s">
        <v>3</v>
      </c>
      <c r="G1" s="1"/>
      <c r="H1" s="3" t="s">
        <v>5</v>
      </c>
      <c r="I1" s="4">
        <f>F81</f>
        <v>-7432500</v>
      </c>
    </row>
    <row r="2" spans="1:9">
      <c r="A2" s="6" t="s">
        <v>4</v>
      </c>
      <c r="B2" s="2" t="s">
        <v>4</v>
      </c>
      <c r="C2" s="1" t="s">
        <v>4</v>
      </c>
      <c r="D2" s="1" t="s">
        <v>4</v>
      </c>
      <c r="E2" s="1" t="s">
        <v>4</v>
      </c>
      <c r="F2" s="1">
        <v>0</v>
      </c>
      <c r="G2" s="1"/>
      <c r="I2" s="1"/>
    </row>
    <row r="3" spans="1:9">
      <c r="A3" s="6">
        <v>43345</v>
      </c>
      <c r="B3" s="2" t="s">
        <v>8</v>
      </c>
      <c r="C3" s="1">
        <f>2*400000+1*140000</f>
        <v>940000</v>
      </c>
      <c r="D3" s="1">
        <f>Table1[[#This Row],[Bet Value]]</f>
        <v>940000</v>
      </c>
      <c r="E3" s="1">
        <f>1274000+40000</f>
        <v>1314000</v>
      </c>
      <c r="F3" s="1">
        <f>F2+Table1[[#This Row],[Change]]</f>
        <v>1314000</v>
      </c>
      <c r="G3" s="1"/>
    </row>
    <row r="4" spans="1:9">
      <c r="A4" s="6">
        <v>43348</v>
      </c>
      <c r="B4" s="2" t="s">
        <v>9</v>
      </c>
      <c r="C4" s="1">
        <f>2*400000+2*140000</f>
        <v>1080000</v>
      </c>
      <c r="D4" s="1">
        <f>D3 + Table1[[#This Row],[Bet Value]]</f>
        <v>2020000</v>
      </c>
      <c r="E4" s="1">
        <f>1102750+54000</f>
        <v>1156750</v>
      </c>
      <c r="F4" s="1">
        <f>F3+Table1[[#This Row],[Change]]</f>
        <v>2470750</v>
      </c>
    </row>
    <row r="5" spans="1:9">
      <c r="A5" s="6">
        <v>43352</v>
      </c>
      <c r="B5" s="2" t="s">
        <v>10</v>
      </c>
      <c r="C5" s="1">
        <f>1*400000</f>
        <v>400000</v>
      </c>
      <c r="D5" s="1">
        <f>D4 + Table1[[#This Row],[Bet Value]]</f>
        <v>2420000</v>
      </c>
      <c r="E5" s="1">
        <f>495000+0</f>
        <v>495000</v>
      </c>
      <c r="F5" s="1">
        <f>F4+Table1[[#This Row],[Change]]</f>
        <v>2965750</v>
      </c>
    </row>
    <row r="6" spans="1:9">
      <c r="A6" s="6">
        <v>43355</v>
      </c>
      <c r="B6" s="2" t="s">
        <v>11</v>
      </c>
      <c r="C6" s="1">
        <f>1*400000 + 1*140000</f>
        <v>540000</v>
      </c>
      <c r="D6" s="1">
        <f>D5 + Table1[[#This Row],[Bet Value]]</f>
        <v>2960000</v>
      </c>
      <c r="E6" s="1">
        <f>-540000+54000</f>
        <v>-486000</v>
      </c>
      <c r="F6" s="1">
        <f>F5+Table1[[#This Row],[Change]]</f>
        <v>2479750</v>
      </c>
    </row>
    <row r="7" spans="1:9">
      <c r="A7" s="6">
        <v>43365</v>
      </c>
      <c r="B7" s="2" t="s">
        <v>12</v>
      </c>
      <c r="C7" s="1">
        <f>2*400000 + 2*140000</f>
        <v>1080000</v>
      </c>
      <c r="D7" s="1">
        <f>D6 + Table1[[#This Row],[Bet Value]]</f>
        <v>4040000</v>
      </c>
      <c r="E7" s="1">
        <f>-1080000+108000</f>
        <v>-972000</v>
      </c>
      <c r="F7" s="1">
        <f>F6+Table1[[#This Row],[Change]]</f>
        <v>1507750</v>
      </c>
    </row>
    <row r="8" spans="1:9">
      <c r="A8" s="6">
        <v>43369</v>
      </c>
      <c r="B8" s="2" t="s">
        <v>13</v>
      </c>
      <c r="C8" s="1">
        <f>4*400000 + 1*140000</f>
        <v>1740000</v>
      </c>
      <c r="D8" s="1">
        <f>D7 + Table1[[#This Row],[Bet Value]]</f>
        <v>5780000</v>
      </c>
      <c r="E8" s="1">
        <f>-145000+134000</f>
        <v>-11000</v>
      </c>
      <c r="F8" s="1">
        <f>F7+Table1[[#This Row],[Change]]</f>
        <v>1496750</v>
      </c>
    </row>
    <row r="9" spans="1:9">
      <c r="A9" s="6">
        <v>43374</v>
      </c>
      <c r="B9" s="2" t="s">
        <v>12</v>
      </c>
      <c r="C9" s="1">
        <f>2*400000</f>
        <v>800000</v>
      </c>
      <c r="D9" s="1">
        <f>D8 + Table1[[#This Row],[Bet Value]]</f>
        <v>6580000</v>
      </c>
      <c r="E9" s="1">
        <f>-800000+80000</f>
        <v>-720000</v>
      </c>
      <c r="F9" s="1">
        <f>F8+Table1[[#This Row],[Change]]</f>
        <v>776750</v>
      </c>
    </row>
    <row r="10" spans="1:9">
      <c r="A10" s="6">
        <v>43376</v>
      </c>
      <c r="B10" s="2" t="s">
        <v>11</v>
      </c>
      <c r="C10" s="1">
        <f>1*400000+2*140000</f>
        <v>680000</v>
      </c>
      <c r="D10" s="1">
        <f>D9 + Table1[[#This Row],[Bet Value]]</f>
        <v>7260000</v>
      </c>
      <c r="E10" s="1">
        <f>-680000+68000</f>
        <v>-612000</v>
      </c>
      <c r="F10" s="1">
        <f>F9+Table1[[#This Row],[Change]]</f>
        <v>164750</v>
      </c>
    </row>
    <row r="11" spans="1:9">
      <c r="A11" s="6">
        <v>43380</v>
      </c>
      <c r="B11" s="2" t="s">
        <v>14</v>
      </c>
      <c r="C11" s="1">
        <f>2*400000+1*140000</f>
        <v>940000</v>
      </c>
      <c r="D11" s="1">
        <f>D10 + Table1[[#This Row],[Bet Value]]</f>
        <v>8200000</v>
      </c>
      <c r="E11" s="1">
        <f>-340000+54000</f>
        <v>-286000</v>
      </c>
      <c r="F11" s="1">
        <f>F10+Table1[[#This Row],[Change]]</f>
        <v>-121250</v>
      </c>
    </row>
    <row r="12" spans="1:9">
      <c r="A12" s="6">
        <v>43383</v>
      </c>
      <c r="B12" s="2" t="s">
        <v>15</v>
      </c>
      <c r="C12" s="1">
        <f>3*400000+0*140000</f>
        <v>1200000</v>
      </c>
      <c r="D12" s="1">
        <f>D11 + Table1[[#This Row],[Bet Value]]</f>
        <v>9400000</v>
      </c>
      <c r="E12" s="1">
        <f>350000+40000</f>
        <v>390000</v>
      </c>
      <c r="F12" s="1">
        <f>F11+Table1[[#This Row],[Change]]</f>
        <v>268750</v>
      </c>
    </row>
    <row r="13" spans="1:9">
      <c r="A13" s="6">
        <v>43386</v>
      </c>
      <c r="B13" s="2" t="s">
        <v>12</v>
      </c>
      <c r="C13" s="1">
        <f>2*400000+2*140000</f>
        <v>1080000</v>
      </c>
      <c r="D13" s="1">
        <f>D12 + Table1[[#This Row],[Bet Value]]</f>
        <v>10480000</v>
      </c>
      <c r="E13" s="1">
        <f>-1080000+108000</f>
        <v>-972000</v>
      </c>
      <c r="F13" s="1">
        <f>F12+Table1[[#This Row],[Change]]</f>
        <v>-703250</v>
      </c>
    </row>
    <row r="14" spans="1:9">
      <c r="A14" s="6">
        <v>43391</v>
      </c>
      <c r="B14" s="2" t="s">
        <v>16</v>
      </c>
      <c r="C14" s="1">
        <f>3*400000+0*140000</f>
        <v>1200000</v>
      </c>
      <c r="D14" s="1">
        <f>D13 + Table1[[#This Row],[Bet Value]]</f>
        <v>11680000</v>
      </c>
      <c r="E14" s="1">
        <f>-360000+80000</f>
        <v>-280000</v>
      </c>
      <c r="F14" s="1">
        <f>F13+Table1[[#This Row],[Change]]</f>
        <v>-983250</v>
      </c>
    </row>
    <row r="15" spans="1:9">
      <c r="A15" s="6">
        <v>43394</v>
      </c>
      <c r="B15" s="2" t="s">
        <v>11</v>
      </c>
      <c r="C15" s="1">
        <f>1*400000+1*140000</f>
        <v>540000</v>
      </c>
      <c r="D15" s="1">
        <f>D14 + Table1[[#This Row],[Bet Value]]</f>
        <v>12220000</v>
      </c>
      <c r="E15" s="1">
        <f>-540000+54000</f>
        <v>-486000</v>
      </c>
      <c r="F15" s="1">
        <f>F14+Table1[[#This Row],[Change]]</f>
        <v>-1469250</v>
      </c>
    </row>
    <row r="16" spans="1:9">
      <c r="A16" s="6">
        <v>43397</v>
      </c>
      <c r="B16" s="2" t="s">
        <v>14</v>
      </c>
      <c r="C16" s="1">
        <f>2*400000+0*140000</f>
        <v>800000</v>
      </c>
      <c r="D16" s="1">
        <f>D15 + Table1[[#This Row],[Bet Value]]</f>
        <v>13020000</v>
      </c>
      <c r="E16" s="1">
        <f>-275000+40000</f>
        <v>-235000</v>
      </c>
      <c r="F16" s="1">
        <f>F15+Table1[[#This Row],[Change]]</f>
        <v>-1704250</v>
      </c>
    </row>
    <row r="17" spans="1:6">
      <c r="A17" s="6">
        <v>43401</v>
      </c>
      <c r="B17" s="2" t="s">
        <v>10</v>
      </c>
      <c r="C17" s="1">
        <f>1*400000+0*140000</f>
        <v>400000</v>
      </c>
      <c r="D17" s="1">
        <f>D16 + Table1[[#This Row],[Bet Value]]</f>
        <v>13420000</v>
      </c>
      <c r="E17" s="1">
        <f>645000+0</f>
        <v>645000</v>
      </c>
      <c r="F17" s="1">
        <f>F16+Table1[[#This Row],[Change]]</f>
        <v>-1059250</v>
      </c>
    </row>
    <row r="18" spans="1:6">
      <c r="A18" s="6">
        <v>43404</v>
      </c>
      <c r="B18" s="2" t="s">
        <v>17</v>
      </c>
      <c r="C18" s="1">
        <f>2*400000+2*140000</f>
        <v>1080000</v>
      </c>
      <c r="D18" s="1">
        <f>D17 + Table1[[#This Row],[Bet Value]]</f>
        <v>14500000</v>
      </c>
      <c r="E18" s="1">
        <f>1320000+28000</f>
        <v>1348000</v>
      </c>
      <c r="F18" s="1">
        <f>F17+Table1[[#This Row],[Change]]</f>
        <v>288750</v>
      </c>
    </row>
    <row r="19" spans="1:6">
      <c r="A19" s="6">
        <v>43408</v>
      </c>
      <c r="B19" s="2" t="s">
        <v>14</v>
      </c>
      <c r="C19" s="1">
        <f>2*400000+1*140000</f>
        <v>940000</v>
      </c>
      <c r="D19" s="1">
        <f>D18 + Table1[[#This Row],[Bet Value]]</f>
        <v>15440000</v>
      </c>
      <c r="E19" s="1">
        <f>-55000+54000</f>
        <v>-1000</v>
      </c>
      <c r="F19" s="1">
        <f>F18+Table1[[#This Row],[Change]]</f>
        <v>287750</v>
      </c>
    </row>
    <row r="20" spans="1:6">
      <c r="A20" s="6">
        <v>43411</v>
      </c>
      <c r="B20" s="2" t="s">
        <v>12</v>
      </c>
      <c r="C20" s="1">
        <f>2*400000+0*140000</f>
        <v>800000</v>
      </c>
      <c r="D20" s="1">
        <f>D19 + Table1[[#This Row],[Bet Value]]</f>
        <v>16240000</v>
      </c>
      <c r="E20" s="1">
        <f>-800000+80000</f>
        <v>-720000</v>
      </c>
      <c r="F20" s="1">
        <f>F19+Table1[[#This Row],[Change]]</f>
        <v>-432250</v>
      </c>
    </row>
    <row r="21" spans="1:6">
      <c r="A21" s="6">
        <v>43414</v>
      </c>
      <c r="B21" s="2" t="s">
        <v>18</v>
      </c>
      <c r="C21" s="1">
        <f>3*400000+2*140000</f>
        <v>1480000</v>
      </c>
      <c r="D21" s="1">
        <f>D20 + Table1[[#This Row],[Bet Value]]</f>
        <v>17720000</v>
      </c>
      <c r="E21" s="1">
        <f>-640000+108000</f>
        <v>-532000</v>
      </c>
      <c r="F21" s="1">
        <f>F20+Table1[[#This Row],[Change]]</f>
        <v>-964250</v>
      </c>
    </row>
    <row r="22" spans="1:6">
      <c r="A22" s="6">
        <v>43418</v>
      </c>
      <c r="B22" s="2" t="s">
        <v>12</v>
      </c>
      <c r="C22" s="1">
        <f>2*400000+0*140000</f>
        <v>800000</v>
      </c>
      <c r="D22" s="1">
        <f>D21 + Table1[[#This Row],[Bet Value]]</f>
        <v>18520000</v>
      </c>
      <c r="E22" s="1">
        <f>-800000+80000</f>
        <v>-720000</v>
      </c>
      <c r="F22" s="1">
        <f>F21+Table1[[#This Row],[Change]]</f>
        <v>-1684250</v>
      </c>
    </row>
    <row r="23" spans="1:6">
      <c r="A23" s="6">
        <v>43422</v>
      </c>
      <c r="B23" s="2" t="s">
        <v>10</v>
      </c>
      <c r="C23" s="1">
        <f>1*400000+0*140000</f>
        <v>400000</v>
      </c>
      <c r="D23" s="1">
        <f>D22 + Table1[[#This Row],[Bet Value]]</f>
        <v>18920000</v>
      </c>
      <c r="E23" s="1">
        <f>495000+0</f>
        <v>495000</v>
      </c>
      <c r="F23" s="1">
        <f>F22+Table1[[#This Row],[Change]]</f>
        <v>-1189250</v>
      </c>
    </row>
    <row r="24" spans="1:6">
      <c r="A24" s="6">
        <v>43425</v>
      </c>
      <c r="B24" s="2" t="s">
        <v>12</v>
      </c>
      <c r="C24" s="1">
        <f>2*400000+0*140000</f>
        <v>800000</v>
      </c>
      <c r="D24" s="1">
        <f>D23 + Table1[[#This Row],[Bet Value]]</f>
        <v>19720000</v>
      </c>
      <c r="E24" s="1">
        <f>-800000+80000</f>
        <v>-720000</v>
      </c>
      <c r="F24" s="1">
        <f>F23+Table1[[#This Row],[Change]]</f>
        <v>-1909250</v>
      </c>
    </row>
    <row r="25" spans="1:6">
      <c r="A25" s="6">
        <v>43429</v>
      </c>
      <c r="B25" s="2" t="s">
        <v>11</v>
      </c>
      <c r="C25" s="1">
        <f>1*400000+1*140000</f>
        <v>540000</v>
      </c>
      <c r="D25" s="1">
        <f>D24 + Table1[[#This Row],[Bet Value]]</f>
        <v>20260000</v>
      </c>
      <c r="E25" s="1">
        <f>-540000+54000</f>
        <v>-486000</v>
      </c>
      <c r="F25" s="1">
        <f>F24+Table1[[#This Row],[Change]]</f>
        <v>-2395250</v>
      </c>
    </row>
    <row r="26" spans="1:6">
      <c r="A26" s="6">
        <v>43432</v>
      </c>
      <c r="B26" s="2" t="s">
        <v>8</v>
      </c>
      <c r="C26" s="1">
        <f>2*400000+1*140000</f>
        <v>940000</v>
      </c>
      <c r="D26" s="1">
        <f>D25 + Table1[[#This Row],[Bet Value]]</f>
        <v>21200000</v>
      </c>
      <c r="E26" s="1">
        <f>542000+40000</f>
        <v>582000</v>
      </c>
      <c r="F26" s="1">
        <f>F25+Table1[[#This Row],[Change]]</f>
        <v>-1813250</v>
      </c>
    </row>
    <row r="27" spans="1:6">
      <c r="A27" s="6">
        <v>43436</v>
      </c>
      <c r="B27" s="2" t="s">
        <v>19</v>
      </c>
      <c r="C27" s="1">
        <f>3*400000+1*140000</f>
        <v>1340000</v>
      </c>
      <c r="D27" s="1">
        <f>D26 + Table1[[#This Row],[Bet Value]]</f>
        <v>22540000</v>
      </c>
      <c r="E27" s="1">
        <f>54000-80000</f>
        <v>-26000</v>
      </c>
      <c r="F27" s="1">
        <f>F26+Table1[[#This Row],[Change]]</f>
        <v>-1839250</v>
      </c>
    </row>
    <row r="28" spans="1:6">
      <c r="A28" s="6">
        <v>43439</v>
      </c>
      <c r="B28" s="2" t="s">
        <v>18</v>
      </c>
      <c r="C28" s="1">
        <f>3*400000+1*140000</f>
        <v>1340000</v>
      </c>
      <c r="D28" s="1">
        <f>D27 + Table1[[#This Row],[Bet Value]]</f>
        <v>23880000</v>
      </c>
      <c r="E28" s="1">
        <f>-845000+94000</f>
        <v>-751000</v>
      </c>
      <c r="F28" s="1">
        <f>F27+Table1[[#This Row],[Change]]</f>
        <v>-2590250</v>
      </c>
    </row>
    <row r="29" spans="1:6">
      <c r="A29" s="6">
        <v>43443</v>
      </c>
      <c r="B29" s="2" t="s">
        <v>12</v>
      </c>
      <c r="C29" s="1">
        <f>2*400000+1*140000</f>
        <v>940000</v>
      </c>
      <c r="D29" s="1">
        <f>D28 + Table1[[#This Row],[Bet Value]]</f>
        <v>24820000</v>
      </c>
      <c r="E29" s="1">
        <f>-940000+94000</f>
        <v>-846000</v>
      </c>
      <c r="F29" s="1">
        <f>F28+Table1[[#This Row],[Change]]</f>
        <v>-3436250</v>
      </c>
    </row>
    <row r="30" spans="1:6">
      <c r="A30" s="6">
        <v>43446</v>
      </c>
      <c r="B30" s="2" t="s">
        <v>14</v>
      </c>
      <c r="C30" s="1">
        <f>2*400000+1*140000</f>
        <v>940000</v>
      </c>
      <c r="D30" s="1">
        <f>D29 + Table1[[#This Row],[Bet Value]]</f>
        <v>25760000</v>
      </c>
      <c r="E30" s="1">
        <f>-370000+54000</f>
        <v>-316000</v>
      </c>
      <c r="F30" s="1">
        <f>F29+Table1[[#This Row],[Change]]</f>
        <v>-3752250</v>
      </c>
    </row>
    <row r="31" spans="1:6">
      <c r="A31" s="6">
        <v>43450</v>
      </c>
      <c r="B31" s="2" t="s">
        <v>20</v>
      </c>
      <c r="C31" s="1">
        <f>2*400000+2*140000</f>
        <v>1080000</v>
      </c>
      <c r="D31" s="1">
        <f>D30 + Table1[[#This Row],[Bet Value]]</f>
        <v>26840000</v>
      </c>
      <c r="E31" s="1">
        <f>779250+14000</f>
        <v>793250</v>
      </c>
      <c r="F31" s="1">
        <f>F30+Table1[[#This Row],[Change]]</f>
        <v>-2959000</v>
      </c>
    </row>
    <row r="32" spans="1:6">
      <c r="A32" s="6">
        <v>43453</v>
      </c>
      <c r="B32" s="2" t="s">
        <v>12</v>
      </c>
      <c r="C32" s="1">
        <f>2*400000+1*140000</f>
        <v>940000</v>
      </c>
      <c r="D32" s="1">
        <f>D31 + Table1[[#This Row],[Bet Value]]</f>
        <v>27780000</v>
      </c>
      <c r="E32" s="1">
        <f>-940000+94000</f>
        <v>-846000</v>
      </c>
      <c r="F32" s="1">
        <f>F31+Table1[[#This Row],[Change]]</f>
        <v>-3805000</v>
      </c>
    </row>
    <row r="33" spans="1:6">
      <c r="A33" s="6">
        <v>43457</v>
      </c>
      <c r="B33" s="2" t="s">
        <v>21</v>
      </c>
      <c r="C33" s="1">
        <f>2*400000+1*140000</f>
        <v>940000</v>
      </c>
      <c r="D33" s="1">
        <f>D32 + Table1[[#This Row],[Bet Value]]</f>
        <v>28720000</v>
      </c>
      <c r="E33" s="1">
        <f>-20000+54000</f>
        <v>34000</v>
      </c>
      <c r="F33" s="1">
        <f>F32+Table1[[#This Row],[Change]]</f>
        <v>-3771000</v>
      </c>
    </row>
    <row r="34" spans="1:6">
      <c r="A34" s="6">
        <v>43460</v>
      </c>
      <c r="B34" s="2" t="s">
        <v>11</v>
      </c>
      <c r="C34" s="1">
        <f>1*400000+0*140000</f>
        <v>400000</v>
      </c>
      <c r="D34" s="1">
        <f>D33 + Table1[[#This Row],[Bet Value]]</f>
        <v>29120000</v>
      </c>
      <c r="E34" s="1">
        <f>-400000+40000</f>
        <v>-360000</v>
      </c>
      <c r="F34" s="1">
        <f>F33+Table1[[#This Row],[Change]]</f>
        <v>-4131000</v>
      </c>
    </row>
    <row r="35" spans="1:6">
      <c r="A35" s="6">
        <v>43463</v>
      </c>
      <c r="B35" s="2" t="s">
        <v>22</v>
      </c>
      <c r="C35" s="1">
        <f>3*400000+2*140000</f>
        <v>1480000</v>
      </c>
      <c r="D35" s="1">
        <f>D34 + Table1[[#This Row],[Bet Value]]</f>
        <v>30600000</v>
      </c>
      <c r="E35" s="1">
        <f>6506000+14000</f>
        <v>6520000</v>
      </c>
      <c r="F35" s="1">
        <f>F34+Table1[[#This Row],[Change]]</f>
        <v>2389000</v>
      </c>
    </row>
    <row r="36" spans="1:6">
      <c r="A36" s="6">
        <v>43466</v>
      </c>
      <c r="B36" s="2" t="s">
        <v>15</v>
      </c>
      <c r="C36" s="1">
        <f>3*400000+1*140000</f>
        <v>1340000</v>
      </c>
      <c r="D36" s="1">
        <f>D35 + Table1[[#This Row],[Bet Value]]</f>
        <v>31940000</v>
      </c>
      <c r="E36" s="1">
        <f>0+54000</f>
        <v>54000</v>
      </c>
      <c r="F36" s="1">
        <f>F35+Table1[[#This Row],[Change]]</f>
        <v>2443000</v>
      </c>
    </row>
    <row r="37" spans="1:6">
      <c r="A37" s="6">
        <v>43471</v>
      </c>
      <c r="B37" s="2" t="s">
        <v>23</v>
      </c>
      <c r="C37" s="1">
        <f>5*400000+2*140000</f>
        <v>2280000</v>
      </c>
      <c r="D37" s="1">
        <f>D36 + Table1[[#This Row],[Bet Value]]</f>
        <v>34220000</v>
      </c>
      <c r="E37" s="1">
        <f>436250+94000</f>
        <v>530250</v>
      </c>
      <c r="F37" s="1">
        <f>F36+Table1[[#This Row],[Change]]</f>
        <v>2973250</v>
      </c>
    </row>
    <row r="38" spans="1:6">
      <c r="A38" s="6">
        <v>43474</v>
      </c>
      <c r="B38" s="2" t="s">
        <v>24</v>
      </c>
      <c r="C38" s="1">
        <f>2*400000+2*140000</f>
        <v>1080000</v>
      </c>
      <c r="D38" s="1">
        <f>D37 + Table1[[#This Row],[Bet Value]]</f>
        <v>35300000</v>
      </c>
      <c r="E38" s="1">
        <f>-1080000+108000</f>
        <v>-972000</v>
      </c>
      <c r="F38" s="1">
        <f>F37+Table1[[#This Row],[Change]]</f>
        <v>2001250</v>
      </c>
    </row>
    <row r="39" spans="1:6">
      <c r="A39" s="6">
        <v>43477</v>
      </c>
      <c r="B39" s="2" t="s">
        <v>24</v>
      </c>
      <c r="C39" s="1">
        <f>2*400000+2*140000</f>
        <v>1080000</v>
      </c>
      <c r="D39" s="1">
        <f>D38 + Table1[[#This Row],[Bet Value]]</f>
        <v>36380000</v>
      </c>
      <c r="E39" s="1">
        <f>-1080000+108000</f>
        <v>-972000</v>
      </c>
      <c r="F39" s="1">
        <f>F38+Table1[[#This Row],[Change]]</f>
        <v>1029250</v>
      </c>
    </row>
    <row r="40" spans="1:6">
      <c r="A40" s="6">
        <v>43481</v>
      </c>
      <c r="B40" s="2" t="s">
        <v>25</v>
      </c>
      <c r="C40" s="1">
        <f>3*400000+2*140000</f>
        <v>1480000</v>
      </c>
      <c r="D40" s="1">
        <f>D39 + Table1[[#This Row],[Bet Value]]</f>
        <v>37860000</v>
      </c>
      <c r="E40" s="1">
        <f>-1480000+148000</f>
        <v>-1332000</v>
      </c>
      <c r="F40" s="1">
        <f>F39+Table1[[#This Row],[Change]]</f>
        <v>-302750</v>
      </c>
    </row>
    <row r="41" spans="1:6">
      <c r="A41" s="6">
        <v>43485</v>
      </c>
      <c r="B41" s="2" t="s">
        <v>21</v>
      </c>
      <c r="C41" s="1">
        <f>2*400000+2*140000</f>
        <v>1080000</v>
      </c>
      <c r="D41" s="1">
        <f>D40 + Table1[[#This Row],[Bet Value]]</f>
        <v>38940000</v>
      </c>
      <c r="E41" s="1">
        <f>795000+0</f>
        <v>795000</v>
      </c>
      <c r="F41" s="1">
        <f>F40+Table1[[#This Row],[Change]]</f>
        <v>492250</v>
      </c>
    </row>
    <row r="42" spans="1:6">
      <c r="A42" s="6">
        <v>43488</v>
      </c>
      <c r="B42" s="2" t="s">
        <v>21</v>
      </c>
      <c r="C42" s="1">
        <f>2*400000+2*140000</f>
        <v>1080000</v>
      </c>
      <c r="D42" s="1">
        <f>D41 + Table1[[#This Row],[Bet Value]]</f>
        <v>40020000</v>
      </c>
      <c r="E42" s="1">
        <f>-310000+68000</f>
        <v>-242000</v>
      </c>
      <c r="F42" s="1">
        <f>F41+Table1[[#This Row],[Change]]</f>
        <v>250250</v>
      </c>
    </row>
    <row r="43" spans="1:6">
      <c r="A43" s="6">
        <v>43492</v>
      </c>
      <c r="B43" s="2" t="s">
        <v>13</v>
      </c>
      <c r="C43" s="1">
        <f>4*400000+2*140000</f>
        <v>1880000</v>
      </c>
      <c r="D43" s="1">
        <f>D42 + Table1[[#This Row],[Bet Value]]</f>
        <v>41900000</v>
      </c>
      <c r="E43" s="1">
        <f>-750000+148000</f>
        <v>-602000</v>
      </c>
      <c r="F43" s="1">
        <f>F42+Table1[[#This Row],[Change]]</f>
        <v>-351750</v>
      </c>
    </row>
    <row r="44" spans="1:6">
      <c r="A44" s="6">
        <v>43495</v>
      </c>
      <c r="B44" s="2" t="s">
        <v>26</v>
      </c>
      <c r="C44" s="1">
        <f>4*400000+3*140000</f>
        <v>2020000</v>
      </c>
      <c r="D44" s="1">
        <f>D43 + Table1[[#This Row],[Bet Value]]</f>
        <v>43920000</v>
      </c>
      <c r="E44" s="1">
        <f>782000+94000</f>
        <v>876000</v>
      </c>
      <c r="F44" s="1">
        <f>F43+Table1[[#This Row],[Change]]</f>
        <v>524250</v>
      </c>
    </row>
    <row r="45" spans="1:6">
      <c r="A45" s="6">
        <v>43498</v>
      </c>
      <c r="B45" s="2" t="s">
        <v>27</v>
      </c>
      <c r="C45" s="1">
        <f>3*400000+2*140000</f>
        <v>1480000</v>
      </c>
      <c r="D45" s="1">
        <f>D44 + Table1[[#This Row],[Bet Value]]</f>
        <v>45400000</v>
      </c>
      <c r="E45" s="1">
        <f>1114250+94000</f>
        <v>1208250</v>
      </c>
      <c r="F45" s="1">
        <f>F44+Table1[[#This Row],[Change]]</f>
        <v>1732500</v>
      </c>
    </row>
    <row r="46" spans="1:6">
      <c r="A46" s="6">
        <v>43503</v>
      </c>
      <c r="B46" s="2" t="s">
        <v>28</v>
      </c>
      <c r="C46" s="1">
        <f>8*400000+3*140000</f>
        <v>3620000</v>
      </c>
      <c r="D46" s="1">
        <f>D45 + Table1[[#This Row],[Bet Value]]</f>
        <v>49020000</v>
      </c>
      <c r="E46" s="1">
        <f>-1145000+202000</f>
        <v>-943000</v>
      </c>
      <c r="F46" s="1">
        <f>F45+Table1[[#This Row],[Change]]</f>
        <v>789500</v>
      </c>
    </row>
    <row r="47" spans="1:6">
      <c r="A47" s="6">
        <v>43506</v>
      </c>
      <c r="B47" s="2" t="s">
        <v>29</v>
      </c>
      <c r="C47" s="1">
        <f>5*400000+5*140000</f>
        <v>2700000</v>
      </c>
      <c r="D47" s="1">
        <f>D46 + Table1[[#This Row],[Bet Value]]</f>
        <v>51720000</v>
      </c>
      <c r="E47" s="1">
        <f>-1675500+216000</f>
        <v>-1459500</v>
      </c>
      <c r="F47" s="1">
        <f>F46+Table1[[#This Row],[Change]]</f>
        <v>-670000</v>
      </c>
    </row>
    <row r="48" spans="1:6">
      <c r="A48" s="6">
        <v>43509</v>
      </c>
      <c r="B48" s="2" t="s">
        <v>30</v>
      </c>
      <c r="C48" s="1">
        <f>6*400000+0*140000</f>
        <v>2400000</v>
      </c>
      <c r="D48" s="1">
        <f>D47 + Table1[[#This Row],[Bet Value]]</f>
        <v>54120000</v>
      </c>
      <c r="E48" s="1">
        <f>745000+120000</f>
        <v>865000</v>
      </c>
      <c r="F48" s="1">
        <f>F47+Table1[[#This Row],[Change]]</f>
        <v>195000</v>
      </c>
    </row>
    <row r="49" spans="1:6">
      <c r="A49" s="6">
        <v>43513</v>
      </c>
      <c r="B49" s="2" t="s">
        <v>31</v>
      </c>
      <c r="C49" s="1">
        <f>5*400000+3*140000</f>
        <v>2420000</v>
      </c>
      <c r="D49" s="1">
        <f>D48 + Table1[[#This Row],[Bet Value]]</f>
        <v>56540000</v>
      </c>
      <c r="E49" s="1">
        <f>-2420000+242000</f>
        <v>-2178000</v>
      </c>
      <c r="F49" s="1">
        <f>F48+Table1[[#This Row],[Change]]</f>
        <v>-1983000</v>
      </c>
    </row>
    <row r="50" spans="1:6">
      <c r="A50" s="6">
        <v>43516</v>
      </c>
      <c r="B50" s="2" t="s">
        <v>14</v>
      </c>
      <c r="C50" s="1">
        <f>2*400000+1*140000</f>
        <v>940000</v>
      </c>
      <c r="D50" s="1">
        <f>D49 + Table1[[#This Row],[Bet Value]]</f>
        <v>57480000</v>
      </c>
      <c r="E50" s="1">
        <f>-550000+54000</f>
        <v>-496000</v>
      </c>
      <c r="F50" s="1">
        <f>F49+Table1[[#This Row],[Change]]</f>
        <v>-2479000</v>
      </c>
    </row>
    <row r="51" spans="1:6">
      <c r="A51" s="6">
        <v>43520</v>
      </c>
      <c r="B51" s="2" t="s">
        <v>32</v>
      </c>
      <c r="C51" s="1">
        <f>4*400000+0*140000</f>
        <v>1600000</v>
      </c>
      <c r="D51" s="1">
        <f>D50 + Table1[[#This Row],[Bet Value]]</f>
        <v>59080000</v>
      </c>
      <c r="E51" s="1">
        <f>110000+40000</f>
        <v>150000</v>
      </c>
      <c r="F51" s="1">
        <f>F50+Table1[[#This Row],[Change]]</f>
        <v>-2329000</v>
      </c>
    </row>
    <row r="52" spans="1:6">
      <c r="A52" s="6">
        <v>43523</v>
      </c>
      <c r="B52" s="2" t="s">
        <v>33</v>
      </c>
      <c r="C52" s="1">
        <f>4*400000+0*140000</f>
        <v>1600000</v>
      </c>
      <c r="D52" s="1">
        <f>D51 + Table1[[#This Row],[Bet Value]]</f>
        <v>60680000</v>
      </c>
      <c r="E52" s="1">
        <f>45000+80000</f>
        <v>125000</v>
      </c>
      <c r="F52" s="1">
        <f>F51+Table1[[#This Row],[Change]]</f>
        <v>-2204000</v>
      </c>
    </row>
    <row r="53" spans="1:6">
      <c r="A53" s="6">
        <v>43526</v>
      </c>
      <c r="B53" s="2" t="s">
        <v>34</v>
      </c>
      <c r="C53" s="1">
        <f>4*400000+2*140000</f>
        <v>1880000</v>
      </c>
      <c r="D53" s="1">
        <f>D52 + Table1[[#This Row],[Bet Value]]</f>
        <v>62560000</v>
      </c>
      <c r="E53" s="1">
        <f>460000+28000</f>
        <v>488000</v>
      </c>
      <c r="F53" s="1">
        <f>F52+Table1[[#This Row],[Change]]</f>
        <v>-1716000</v>
      </c>
    </row>
    <row r="54" spans="1:6">
      <c r="A54" s="6">
        <v>43530</v>
      </c>
      <c r="B54" s="2" t="s">
        <v>12</v>
      </c>
      <c r="C54" s="1">
        <f>2*400000+1*140000</f>
        <v>940000</v>
      </c>
      <c r="D54" s="1">
        <f>D53 + Table1[[#This Row],[Bet Value]]</f>
        <v>63500000</v>
      </c>
      <c r="E54" s="1">
        <f>-940000+94000</f>
        <v>-846000</v>
      </c>
      <c r="F54" s="1">
        <f>F53+Table1[[#This Row],[Change]]</f>
        <v>-2562000</v>
      </c>
    </row>
    <row r="55" spans="1:6">
      <c r="A55" s="6">
        <v>43534</v>
      </c>
      <c r="B55" s="2" t="s">
        <v>12</v>
      </c>
      <c r="C55" s="1">
        <f>2*400000+3*140000</f>
        <v>1220000</v>
      </c>
      <c r="D55" s="1">
        <f>D54 + Table1[[#This Row],[Bet Value]]</f>
        <v>64720000</v>
      </c>
      <c r="E55" s="1">
        <f>-1220000+122000</f>
        <v>-1098000</v>
      </c>
      <c r="F55" s="1">
        <f>F54+Table1[[#This Row],[Change]]</f>
        <v>-3660000</v>
      </c>
    </row>
    <row r="56" spans="1:6">
      <c r="A56" s="6">
        <v>43537</v>
      </c>
      <c r="B56" s="2" t="s">
        <v>35</v>
      </c>
      <c r="C56" s="1">
        <f>6*400000+1*140000</f>
        <v>2540000</v>
      </c>
      <c r="D56" s="1">
        <f>D55 + Table1[[#This Row],[Bet Value]]</f>
        <v>67260000</v>
      </c>
      <c r="E56" s="1">
        <f>640000+134000</f>
        <v>774000</v>
      </c>
      <c r="F56" s="1">
        <f>F55+Table1[[#This Row],[Change]]</f>
        <v>-2886000</v>
      </c>
    </row>
    <row r="57" spans="1:6">
      <c r="A57" s="6">
        <v>43541</v>
      </c>
      <c r="B57" s="2" t="s">
        <v>25</v>
      </c>
      <c r="C57" s="1">
        <f>3*400000+3*140000</f>
        <v>1620000</v>
      </c>
      <c r="D57" s="1">
        <f>D56 + Table1[[#This Row],[Bet Value]]</f>
        <v>68880000</v>
      </c>
      <c r="E57" s="1">
        <f>-1620000+162000</f>
        <v>-1458000</v>
      </c>
      <c r="F57" s="1">
        <f>F56+Table1[[#This Row],[Change]]</f>
        <v>-4344000</v>
      </c>
    </row>
    <row r="58" spans="1:6">
      <c r="A58" s="6">
        <v>43544</v>
      </c>
      <c r="B58" s="2" t="s">
        <v>25</v>
      </c>
      <c r="C58" s="1">
        <f>3*400000+1*140000</f>
        <v>1340000</v>
      </c>
      <c r="D58" s="1">
        <f>D57 + Table1[[#This Row],[Bet Value]]</f>
        <v>70220000</v>
      </c>
      <c r="E58" s="1">
        <f>-1340000+134000</f>
        <v>-1206000</v>
      </c>
      <c r="F58" s="1">
        <f>F57+Table1[[#This Row],[Change]]</f>
        <v>-5550000</v>
      </c>
    </row>
    <row r="59" spans="1:6">
      <c r="A59" s="6">
        <v>43548</v>
      </c>
      <c r="B59" s="2" t="s">
        <v>14</v>
      </c>
      <c r="C59" s="1">
        <f>2*400000+2*140000</f>
        <v>1080000</v>
      </c>
      <c r="D59" s="1">
        <f>D58 + Table1[[#This Row],[Bet Value]]</f>
        <v>71300000</v>
      </c>
      <c r="E59" s="1">
        <f>-380000+40000</f>
        <v>-340000</v>
      </c>
      <c r="F59" s="1">
        <f>F58+Table1[[#This Row],[Change]]</f>
        <v>-5890000</v>
      </c>
    </row>
    <row r="60" spans="1:6">
      <c r="A60" s="6">
        <v>43551</v>
      </c>
      <c r="B60" s="2" t="s">
        <v>25</v>
      </c>
      <c r="C60" s="1">
        <f>3*400000+2*140000</f>
        <v>1480000</v>
      </c>
      <c r="D60" s="1">
        <f>D59 + Table1[[#This Row],[Bet Value]]</f>
        <v>72780000</v>
      </c>
      <c r="E60" s="1">
        <f>-1480000+148000</f>
        <v>-1332000</v>
      </c>
      <c r="F60" s="1">
        <f>F59+Table1[[#This Row],[Change]]</f>
        <v>-7222000</v>
      </c>
    </row>
    <row r="61" spans="1:6">
      <c r="A61" s="6">
        <v>43555</v>
      </c>
      <c r="B61" s="2" t="s">
        <v>21</v>
      </c>
      <c r="C61" s="1">
        <f>2*400000+2*140000</f>
        <v>1080000</v>
      </c>
      <c r="D61" s="1">
        <f>D60 + Table1[[#This Row],[Bet Value]]</f>
        <v>73860000</v>
      </c>
      <c r="E61" s="1">
        <f>425000+40000</f>
        <v>465000</v>
      </c>
      <c r="F61" s="1">
        <f>F60+Table1[[#This Row],[Change]]</f>
        <v>-6757000</v>
      </c>
    </row>
    <row r="62" spans="1:6">
      <c r="A62" s="6">
        <v>43558</v>
      </c>
      <c r="B62" s="2" t="s">
        <v>21</v>
      </c>
      <c r="C62" s="1">
        <f>2*400000+2*140000</f>
        <v>1080000</v>
      </c>
      <c r="D62" s="1">
        <f>D61 + Table1[[#This Row],[Bet Value]]</f>
        <v>74940000</v>
      </c>
      <c r="E62" s="1">
        <f>-385000+68000</f>
        <v>-317000</v>
      </c>
      <c r="F62" s="1">
        <f>F61+Table1[[#This Row],[Change]]</f>
        <v>-7074000</v>
      </c>
    </row>
    <row r="63" spans="1:6">
      <c r="A63" s="6">
        <v>43562</v>
      </c>
      <c r="B63" s="2" t="s">
        <v>14</v>
      </c>
      <c r="C63" s="1">
        <f>2*400000+0*140000</f>
        <v>800000</v>
      </c>
      <c r="D63" s="1">
        <f>D62 + Table1[[#This Row],[Bet Value]]</f>
        <v>75740000</v>
      </c>
      <c r="E63" s="1">
        <f>-215000+40000</f>
        <v>-175000</v>
      </c>
      <c r="F63" s="1">
        <f>F62+Table1[[#This Row],[Change]]</f>
        <v>-7249000</v>
      </c>
    </row>
    <row r="64" spans="1:6">
      <c r="A64" s="6">
        <v>43565</v>
      </c>
      <c r="B64" s="2" t="s">
        <v>18</v>
      </c>
      <c r="C64" s="1">
        <f>3*400000+0*140000</f>
        <v>1200000</v>
      </c>
      <c r="D64" s="1">
        <f>D63 + Table1[[#This Row],[Bet Value]]</f>
        <v>76940000</v>
      </c>
      <c r="E64" s="1">
        <f>-510000+80000</f>
        <v>-430000</v>
      </c>
      <c r="F64" s="1">
        <f>F63+Table1[[#This Row],[Change]]</f>
        <v>-7679000</v>
      </c>
    </row>
    <row r="65" spans="1:6">
      <c r="A65" s="6">
        <v>43569</v>
      </c>
      <c r="B65" s="2" t="s">
        <v>36</v>
      </c>
      <c r="C65" s="1">
        <f>7*400000+3*140000</f>
        <v>3220000</v>
      </c>
      <c r="D65" s="1">
        <f>D64 + Table1[[#This Row],[Bet Value]]</f>
        <v>80160000</v>
      </c>
      <c r="E65" s="1">
        <f>1510000+122000</f>
        <v>1632000</v>
      </c>
      <c r="F65" s="1">
        <f>F64+Table1[[#This Row],[Change]]</f>
        <v>-6047000</v>
      </c>
    </row>
    <row r="66" spans="1:6">
      <c r="A66" s="6">
        <v>43572</v>
      </c>
      <c r="B66" s="2" t="s">
        <v>37</v>
      </c>
      <c r="C66" s="1">
        <f>3*400000+0*140000</f>
        <v>1200000</v>
      </c>
      <c r="D66" s="1">
        <f>D65 + Table1[[#This Row],[Bet Value]]</f>
        <v>81360000</v>
      </c>
      <c r="E66" s="1">
        <f>1425000</f>
        <v>1425000</v>
      </c>
      <c r="F66" s="1">
        <f>F65+Table1[[#This Row],[Change]]</f>
        <v>-4622000</v>
      </c>
    </row>
    <row r="67" spans="1:6">
      <c r="A67" s="6">
        <v>43577</v>
      </c>
      <c r="B67" s="2" t="s">
        <v>18</v>
      </c>
      <c r="C67" s="1">
        <f>3*400000+2*140000</f>
        <v>1480000</v>
      </c>
      <c r="D67" s="1">
        <f>D66 + Table1[[#This Row],[Bet Value]]</f>
        <v>82840000</v>
      </c>
      <c r="E67" s="1">
        <f>-1000000+108000</f>
        <v>-892000</v>
      </c>
      <c r="F67" s="1">
        <f>F66+Table1[[#This Row],[Change]]</f>
        <v>-5514000</v>
      </c>
    </row>
    <row r="68" spans="1:6">
      <c r="A68" s="6">
        <v>43579</v>
      </c>
      <c r="B68" s="2" t="s">
        <v>12</v>
      </c>
      <c r="C68" s="1">
        <f>2*400000+2*140000</f>
        <v>1080000</v>
      </c>
      <c r="D68" s="1">
        <f>D67 + Table1[[#This Row],[Bet Value]]</f>
        <v>83920000</v>
      </c>
      <c r="E68" s="1">
        <f>-1080000+108000</f>
        <v>-972000</v>
      </c>
      <c r="F68" s="1">
        <f>F67+Table1[[#This Row],[Change]]</f>
        <v>-6486000</v>
      </c>
    </row>
    <row r="69" spans="1:6">
      <c r="A69" s="6">
        <v>43583</v>
      </c>
      <c r="B69" s="2" t="s">
        <v>38</v>
      </c>
      <c r="C69" s="1">
        <f>2*400000+1*140000</f>
        <v>940000</v>
      </c>
      <c r="D69" s="1">
        <f>D68 + Table1[[#This Row],[Bet Value]]</f>
        <v>84860000</v>
      </c>
      <c r="E69" s="1">
        <f>414500+40000</f>
        <v>454500</v>
      </c>
      <c r="F69" s="1">
        <f>F68+Table1[[#This Row],[Change]]</f>
        <v>-6031500</v>
      </c>
    </row>
    <row r="70" spans="1:6">
      <c r="A70" s="6">
        <v>43586</v>
      </c>
      <c r="B70" s="2" t="s">
        <v>39</v>
      </c>
      <c r="C70" s="1">
        <f>1*400000+0*140000</f>
        <v>400000</v>
      </c>
      <c r="D70" s="1">
        <f>D69 + Table1[[#This Row],[Bet Value]]</f>
        <v>85260000</v>
      </c>
      <c r="E70" s="1">
        <f>35000+0</f>
        <v>35000</v>
      </c>
      <c r="F70" s="1">
        <f>F69+Table1[[#This Row],[Change]]</f>
        <v>-5996500</v>
      </c>
    </row>
    <row r="71" spans="1:6">
      <c r="A71" s="6">
        <v>43590</v>
      </c>
      <c r="B71" s="2" t="s">
        <v>18</v>
      </c>
      <c r="C71" s="1">
        <f>3*400000+0*140000</f>
        <v>1200000</v>
      </c>
      <c r="D71" s="1">
        <f>D70 + Table1[[#This Row],[Bet Value]]</f>
        <v>86460000</v>
      </c>
      <c r="E71" s="1">
        <f>-630000+80000</f>
        <v>-550000</v>
      </c>
      <c r="F71" s="1">
        <f>F70+Table1[[#This Row],[Change]]</f>
        <v>-6546500</v>
      </c>
    </row>
    <row r="72" spans="1:6">
      <c r="A72" s="6">
        <v>43593</v>
      </c>
      <c r="B72" s="2" t="s">
        <v>40</v>
      </c>
      <c r="C72" s="1">
        <f>0*400000+0*140000</f>
        <v>0</v>
      </c>
      <c r="D72" s="1">
        <f>D71 + Table1[[#This Row],[Bet Value]]</f>
        <v>86460000</v>
      </c>
      <c r="E72" s="1">
        <f>0</f>
        <v>0</v>
      </c>
      <c r="F72" s="1">
        <f>F71+Table1[[#This Row],[Change]]</f>
        <v>-6546500</v>
      </c>
    </row>
    <row r="73" spans="1:6">
      <c r="A73" s="6">
        <v>43596</v>
      </c>
      <c r="B73" s="2" t="s">
        <v>11</v>
      </c>
      <c r="C73" s="1">
        <f>1*400000+0*140000</f>
        <v>400000</v>
      </c>
      <c r="D73" s="1">
        <f>D72 + Table1[[#This Row],[Bet Value]]</f>
        <v>86860000</v>
      </c>
      <c r="E73" s="1">
        <f>-400000+40000</f>
        <v>-360000</v>
      </c>
      <c r="F73" s="1">
        <f>F72+Table1[[#This Row],[Change]]</f>
        <v>-6906500</v>
      </c>
    </row>
    <row r="74" spans="1:6">
      <c r="A74" s="6">
        <v>43600</v>
      </c>
      <c r="B74" s="2" t="s">
        <v>41</v>
      </c>
      <c r="C74" s="1">
        <f>3*400000+0*140000</f>
        <v>1200000</v>
      </c>
      <c r="D74" s="1">
        <f>D73 + Table1[[#This Row],[Bet Value]]</f>
        <v>88060000</v>
      </c>
      <c r="E74" s="1">
        <f>785000</f>
        <v>785000</v>
      </c>
      <c r="F74" s="1">
        <f>F73+Table1[[#This Row],[Change]]</f>
        <v>-6121500</v>
      </c>
    </row>
    <row r="75" spans="1:6">
      <c r="A75" s="6">
        <v>43603</v>
      </c>
      <c r="B75" s="2" t="s">
        <v>12</v>
      </c>
      <c r="C75" s="1">
        <f>2*400000+2*140000</f>
        <v>1080000</v>
      </c>
      <c r="D75" s="1">
        <f>D74 + Table1[[#This Row],[Bet Value]]</f>
        <v>89140000</v>
      </c>
      <c r="E75" s="1">
        <f>-1080000+108000</f>
        <v>-972000</v>
      </c>
      <c r="F75" s="1">
        <f>F74+Table1[[#This Row],[Change]]</f>
        <v>-7093500</v>
      </c>
    </row>
    <row r="76" spans="1:6">
      <c r="A76" s="6">
        <v>43607</v>
      </c>
      <c r="B76" s="2" t="s">
        <v>41</v>
      </c>
      <c r="C76" s="1">
        <f>2*400000+0*140000</f>
        <v>800000</v>
      </c>
      <c r="D76" s="1">
        <f>D75 + Table1[[#This Row],[Bet Value]]</f>
        <v>89940000</v>
      </c>
      <c r="E76" s="1">
        <f>955000</f>
        <v>955000</v>
      </c>
      <c r="F76" s="1">
        <f>F75+Table1[[#This Row],[Change]]</f>
        <v>-6138500</v>
      </c>
    </row>
    <row r="77" spans="1:6">
      <c r="A77" s="6">
        <v>43611</v>
      </c>
      <c r="B77" s="2" t="s">
        <v>11</v>
      </c>
      <c r="C77" s="1">
        <f>1*400000+1*140000</f>
        <v>540000</v>
      </c>
      <c r="D77" s="1">
        <f>D76 + Table1[[#This Row],[Bet Value]]</f>
        <v>90480000</v>
      </c>
      <c r="E77" s="1">
        <f>-540000+54000</f>
        <v>-486000</v>
      </c>
      <c r="F77" s="1">
        <f>F76+Table1[[#This Row],[Change]]</f>
        <v>-6624500</v>
      </c>
    </row>
    <row r="78" spans="1:6">
      <c r="A78" s="6">
        <v>43614</v>
      </c>
      <c r="B78" s="2" t="s">
        <v>10</v>
      </c>
      <c r="C78" s="1">
        <f>1*400000+0*140000</f>
        <v>400000</v>
      </c>
      <c r="D78" s="1">
        <f>D77 + Table1[[#This Row],[Bet Value]]</f>
        <v>90880000</v>
      </c>
      <c r="E78" s="1">
        <f>960000</f>
        <v>960000</v>
      </c>
      <c r="F78" s="1">
        <f>F77+Table1[[#This Row],[Change]]</f>
        <v>-5664500</v>
      </c>
    </row>
    <row r="79" spans="1:6">
      <c r="A79" s="6">
        <v>43618</v>
      </c>
      <c r="B79" s="2" t="s">
        <v>14</v>
      </c>
      <c r="C79" s="1">
        <f>2*400000+2*140000</f>
        <v>1080000</v>
      </c>
      <c r="D79" s="1">
        <f>D78 + Table1[[#This Row],[Bet Value]]</f>
        <v>91960000</v>
      </c>
      <c r="E79" s="1">
        <f>-630000+68000</f>
        <v>-562000</v>
      </c>
      <c r="F79" s="1">
        <f>F78+Table1[[#This Row],[Change]]</f>
        <v>-6226500</v>
      </c>
    </row>
    <row r="80" spans="1:6">
      <c r="A80" s="6">
        <v>43621</v>
      </c>
      <c r="B80" s="2" t="s">
        <v>11</v>
      </c>
      <c r="C80" s="1">
        <f>1*400000+1*140000</f>
        <v>540000</v>
      </c>
      <c r="D80" s="1">
        <f>D79 + Table1[[#This Row],[Bet Value]]</f>
        <v>92500000</v>
      </c>
      <c r="E80" s="1">
        <f>-540000+54000</f>
        <v>-486000</v>
      </c>
      <c r="F80" s="1">
        <f>F79+Table1[[#This Row],[Change]]</f>
        <v>-6712500</v>
      </c>
    </row>
    <row r="81" spans="1:6">
      <c r="A81" s="6">
        <v>43624</v>
      </c>
      <c r="B81" s="2" t="s">
        <v>12</v>
      </c>
      <c r="C81" s="1">
        <f>2*400000+0*140000</f>
        <v>800000</v>
      </c>
      <c r="D81" s="1">
        <f>D80 + Table1[[#This Row],[Bet Value]]</f>
        <v>93300000</v>
      </c>
      <c r="E81" s="1">
        <f>-800000+80000</f>
        <v>-720000</v>
      </c>
      <c r="F81" s="1">
        <f>F80+Table1[[#This Row],[Change]]</f>
        <v>-7432500</v>
      </c>
    </row>
  </sheetData>
  <phoneticPr fontId="2" type="noConversion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B5F6E4F-7121-4038-9AB3-521B2E2795B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Fund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Wan Zhiyu</dc:creator>
  <cp:lastModifiedBy>WagJK</cp:lastModifiedBy>
  <cp:lastPrinted>2014-11-23T14:52:39Z</cp:lastPrinted>
  <dcterms:created xsi:type="dcterms:W3CDTF">2012-09-27T01:49:39Z</dcterms:created>
  <dcterms:modified xsi:type="dcterms:W3CDTF">2019-06-09T02:55:04Z</dcterms:modified>
</cp:coreProperties>
</file>