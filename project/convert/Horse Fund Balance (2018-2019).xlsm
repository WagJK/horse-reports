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B418487E-32C8-4289-BBD0-E3FF0DA78A07}" xr6:coauthVersionLast="31" xr6:coauthVersionMax="41" xr10:uidLastSave="{00000000-0000-0000-0000-000000000000}"/>
  <bookViews>
    <workbookView xWindow="-90" yWindow="-90" windowWidth="23235" windowHeight="12555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62" i="1"/>
  <c r="C62" i="1"/>
  <c r="E61" i="1" l="1"/>
  <c r="C61" i="1"/>
  <c r="E60" i="1" l="1"/>
  <c r="C60" i="1"/>
  <c r="E59" i="1" l="1"/>
  <c r="C59" i="1"/>
  <c r="E58" i="1" l="1"/>
  <c r="C58" i="1"/>
  <c r="E57" i="1" l="1"/>
  <c r="C57" i="1"/>
  <c r="E56" i="1" l="1"/>
  <c r="C56" i="1"/>
  <c r="E55" i="1" l="1"/>
  <c r="C55" i="1"/>
  <c r="C36" i="1"/>
  <c r="E36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E43" i="1" l="1"/>
  <c r="C43" i="1"/>
  <c r="E42" i="1" l="1"/>
  <c r="C42" i="1"/>
  <c r="E41" i="1" l="1"/>
  <c r="C41" i="1"/>
  <c r="E40" i="1" l="1"/>
  <c r="C40" i="1"/>
  <c r="C39" i="1" l="1"/>
  <c r="E39" i="1"/>
  <c r="E38" i="1" l="1"/>
  <c r="C38" i="1"/>
  <c r="E37" i="1" l="1"/>
  <c r="C37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F3" i="1"/>
  <c r="D36" i="1" l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F4" i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s="1"/>
  <c r="F37" i="1" l="1"/>
  <c r="F38" i="1" l="1"/>
  <c r="F39" i="1" l="1"/>
  <c r="F40" i="1" l="1"/>
  <c r="F41" i="1" l="1"/>
  <c r="F42" i="1" l="1"/>
  <c r="F43" i="1" l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s="1"/>
  <c r="F56" i="1" l="1"/>
  <c r="F57" i="1" l="1"/>
  <c r="F58" i="1" l="1"/>
  <c r="F59" i="1" l="1"/>
  <c r="F60" i="1" l="1"/>
  <c r="F61" i="1" l="1"/>
  <c r="F6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</connections>
</file>

<file path=xl/sharedStrings.xml><?xml version="1.0" encoding="utf-8"?>
<sst xmlns="http://schemas.openxmlformats.org/spreadsheetml/2006/main" count="72" uniqueCount="36">
  <si>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</si>
  <si>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</si>
  <si>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</si>
  <si>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</si>
  <si>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</si>
  <si>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</si>
  <si>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</si>
  <si>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</si>
  <si>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</si>
  <si>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</si>
  <si>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</si>
  <si>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</si>
  <si>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</si>
  <si>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</si>
  <si>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</si>
  <si>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</si>
  <si>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</si>
  <si>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</si>
  <si>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</si>
  <si>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</si>
  <si>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</si>
  <si>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</si>
  <si>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</si>
  <si>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</si>
  <si>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</si>
  <si>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</si>
  <si>
    <t xml:space="preserve">2P-1PQ-2L </t>
  </si>
  <si>
    <t>1W-1Q-2L</t>
  </si>
  <si>
    <t>4P-4L</t>
  </si>
  <si>
    <t xml:space="preserve">1P-1PQ-4L </t>
  </si>
  <si>
    <t xml:space="preserve">3W-3L </t>
  </si>
  <si>
    <t>5L</t>
  </si>
  <si>
    <t>1W-3P-1L</t>
  </si>
  <si>
    <t xml:space="preserve">1W-2P-2L </t>
  </si>
  <si>
    <t>4P</t>
  </si>
  <si>
    <t xml:space="preserve">2W-3P-3L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</si>
</sst>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Fund!$A$2:$A$62</c:f>
              <c:strCache>
                <c:ptCount val="61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  <c:pt idx="41">
                  <c:v>2019/1/27</c:v>
                </c:pt>
                <c:pt idx="42">
                  <c:v>2019/1/30</c:v>
                </c:pt>
                <c:pt idx="43">
                  <c:v>2019/2/2</c:v>
                </c:pt>
                <c:pt idx="44">
                  <c:v>2019/2/7</c:v>
                </c:pt>
                <c:pt idx="45">
                  <c:v>2019/2/10</c:v>
                </c:pt>
                <c:pt idx="46">
                  <c:v>2019/2/13</c:v>
                </c:pt>
                <c:pt idx="47">
                  <c:v>2019/2/17</c:v>
                </c:pt>
                <c:pt idx="48">
                  <c:v>2019/2/20</c:v>
                </c:pt>
                <c:pt idx="49">
                  <c:v>2019/2/24</c:v>
                </c:pt>
                <c:pt idx="50">
                  <c:v>2019/2/27</c:v>
                </c:pt>
                <c:pt idx="51">
                  <c:v>2019/3/2</c:v>
                </c:pt>
                <c:pt idx="52">
                  <c:v>2019/3/6</c:v>
                </c:pt>
                <c:pt idx="53">
                  <c:v>2019/3/10</c:v>
                </c:pt>
                <c:pt idx="54">
                  <c:v>2019/3/13</c:v>
                </c:pt>
                <c:pt idx="55">
                  <c:v>2019/3/17</c:v>
                </c:pt>
                <c:pt idx="56">
                  <c:v>2019/3/20</c:v>
                </c:pt>
                <c:pt idx="57">
                  <c:v>2019/3/24</c:v>
                </c:pt>
                <c:pt idx="58">
                  <c:v>2019/3/27</c:v>
                </c:pt>
                <c:pt idx="59">
                  <c:v>2019/3/31</c:v>
                </c:pt>
                <c:pt idx="60">
                  <c:v>2019/4/3</c:v>
                </c:pt>
              </c:strCache>
            </c:strRef>
          </c:cat>
          <c:val>
            <c:numRef>
              <c:f>Fund!$F$2:$F$62</c:f>
              <c:numCache>
                <c:formatCode>General</c:formatCode>
                <c:ptCount val="61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  <c:pt idx="41">
                  <c:v>-351750</c:v>
                </c:pt>
                <c:pt idx="42">
                  <c:v>524250</c:v>
                </c:pt>
                <c:pt idx="43">
                  <c:v>1732500</c:v>
                </c:pt>
                <c:pt idx="44">
                  <c:v>789500</c:v>
                </c:pt>
                <c:pt idx="45">
                  <c:v>-670000</c:v>
                </c:pt>
                <c:pt idx="46">
                  <c:v>195000</c:v>
                </c:pt>
                <c:pt idx="47">
                  <c:v>-1983000</c:v>
                </c:pt>
                <c:pt idx="48">
                  <c:v>-2479000</c:v>
                </c:pt>
                <c:pt idx="49">
                  <c:v>-2329000</c:v>
                </c:pt>
                <c:pt idx="50">
                  <c:v>-2204000</c:v>
                </c:pt>
                <c:pt idx="51">
                  <c:v>-1716000</c:v>
                </c:pt>
                <c:pt idx="52">
                  <c:v>-2562000</c:v>
                </c:pt>
                <c:pt idx="53">
                  <c:v>-3660000</c:v>
                </c:pt>
                <c:pt idx="54">
                  <c:v>-2886000</c:v>
                </c:pt>
                <c:pt idx="55">
                  <c:v>-4344000</c:v>
                </c:pt>
                <c:pt idx="56">
                  <c:v>-5550000</c:v>
                </c:pt>
                <c:pt idx="57">
                  <c:v>-5890000</c:v>
                </c:pt>
                <c:pt idx="58">
                  <c:v>-7222000</c:v>
                </c:pt>
                <c:pt idx="59">
                  <c:v>-6757000</c:v>
                </c:pt>
                <c:pt idx="60">
                  <c:v>-7074000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8000000"/>
          <c:min val="-8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14</xdr:col>
      <xdr:colOff>83820</xdr:colOff>
      <xdr:row>28</xdr:row>
      <xdr:rowOff>95250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62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62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F62</f>
        <v>-7074000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43345</v>
      </c>
      <c r="B3" s="2" t="s">
        <v>8</v>
      </c>
      <c r="C3" s="1">
        <f>2*400000+1*140000</f>
        <v>940000</v>
      </c>
      <c r="D3" s="1">
        <f>Table1[[#This Row],[Bet Value]]</f>
        <v>940000</v>
      </c>
      <c r="E3" s="1">
        <f>1274000+40000</f>
        <v>1314000</v>
      </c>
      <c r="F3" s="1">
        <f>F2+Table1[[#This Row],[Change]]</f>
        <v>1314000</v>
      </c>
      <c r="G3" s="1"/>
    </row>
    <row r="4" spans="1:9">
      <c r="A4" s="6">
        <v>43348</v>
      </c>
      <c r="B4" s="2" t="s">
        <v>9</v>
      </c>
      <c r="C4" s="1">
        <f>2*400000+2*140000</f>
        <v>1080000</v>
      </c>
      <c r="D4" s="1">
        <f>D3 + Table1[[#This Row],[Bet Value]]</f>
        <v>2020000</v>
      </c>
      <c r="E4" s="1">
        <f>1102750+54000</f>
        <v>1156750</v>
      </c>
      <c r="F4" s="1">
        <f>F3+Table1[[#This Row],[Change]]</f>
        <v>2470750</v>
      </c>
    </row>
    <row r="5" spans="1:9">
      <c r="A5" s="6">
        <v>43352</v>
      </c>
      <c r="B5" s="2" t="s">
        <v>10</v>
      </c>
      <c r="C5" s="1">
        <f>1*400000</f>
        <v>400000</v>
      </c>
      <c r="D5" s="1">
        <f>D4 + Table1[[#This Row],[Bet Value]]</f>
        <v>2420000</v>
      </c>
      <c r="E5" s="1">
        <f>495000+0</f>
        <v>495000</v>
      </c>
      <c r="F5" s="1">
        <f>F4+Table1[[#This Row],[Change]]</f>
        <v>2965750</v>
      </c>
    </row>
    <row r="6" spans="1:9">
      <c r="A6" s="6">
        <v>43355</v>
      </c>
      <c r="B6" s="2" t="s">
        <v>11</v>
      </c>
      <c r="C6" s="1">
        <f>1*400000 + 1*140000</f>
        <v>540000</v>
      </c>
      <c r="D6" s="1">
        <f>D5 + Table1[[#This Row],[Bet Value]]</f>
        <v>2960000</v>
      </c>
      <c r="E6" s="1">
        <f>-540000+54000</f>
        <v>-486000</v>
      </c>
      <c r="F6" s="1">
        <f>F5+Table1[[#This Row],[Change]]</f>
        <v>2479750</v>
      </c>
    </row>
    <row r="7" spans="1:9">
      <c r="A7" s="6">
        <v>43365</v>
      </c>
      <c r="B7" s="2" t="s">
        <v>12</v>
      </c>
      <c r="C7" s="1">
        <f>2*400000 + 2*140000</f>
        <v>1080000</v>
      </c>
      <c r="D7" s="1">
        <f>D6 + Table1[[#This Row],[Bet Value]]</f>
        <v>4040000</v>
      </c>
      <c r="E7" s="1">
        <f>-1080000+108000</f>
        <v>-972000</v>
      </c>
      <c r="F7" s="1">
        <f>F6+Table1[[#This Row],[Change]]</f>
        <v>1507750</v>
      </c>
    </row>
    <row r="8" spans="1:9">
      <c r="A8" s="6">
        <v>43369</v>
      </c>
      <c r="B8" s="2" t="s">
        <v>13</v>
      </c>
      <c r="C8" s="1">
        <f>4*400000 + 1*140000</f>
        <v>1740000</v>
      </c>
      <c r="D8" s="1">
        <f>D7 + Table1[[#This Row],[Bet Value]]</f>
        <v>5780000</v>
      </c>
      <c r="E8" s="1">
        <f>-145000+134000</f>
        <v>-11000</v>
      </c>
      <c r="F8" s="1">
        <f>F7+Table1[[#This Row],[Change]]</f>
        <v>1496750</v>
      </c>
    </row>
    <row r="9" spans="1:9">
      <c r="A9" s="6">
        <v>43374</v>
      </c>
      <c r="B9" s="2" t="s">
        <v>12</v>
      </c>
      <c r="C9" s="1">
        <f>2*400000</f>
        <v>800000</v>
      </c>
      <c r="D9" s="1">
        <f>D8 + Table1[[#This Row],[Bet Value]]</f>
        <v>6580000</v>
      </c>
      <c r="E9" s="1">
        <f>-800000+80000</f>
        <v>-720000</v>
      </c>
      <c r="F9" s="1">
        <f>F8+Table1[[#This Row],[Change]]</f>
        <v>776750</v>
      </c>
    </row>
    <row r="10" spans="1:9">
      <c r="A10" s="6">
        <v>43376</v>
      </c>
      <c r="B10" s="2" t="s">
        <v>11</v>
      </c>
      <c r="C10" s="1">
        <f>1*400000+2*140000</f>
        <v>680000</v>
      </c>
      <c r="D10" s="1">
        <f>D9 + Table1[[#This Row],[Bet Value]]</f>
        <v>7260000</v>
      </c>
      <c r="E10" s="1">
        <f>-680000+68000</f>
        <v>-612000</v>
      </c>
      <c r="F10" s="1">
        <f>F9+Table1[[#This Row],[Change]]</f>
        <v>164750</v>
      </c>
    </row>
    <row r="11" spans="1:9">
      <c r="A11" s="6">
        <v>43380</v>
      </c>
      <c r="B11" s="2" t="s">
        <v>14</v>
      </c>
      <c r="C11" s="1">
        <f>2*400000+1*140000</f>
        <v>940000</v>
      </c>
      <c r="D11" s="1">
        <f>D10 + Table1[[#This Row],[Bet Value]]</f>
        <v>8200000</v>
      </c>
      <c r="E11" s="1">
        <f>-340000+54000</f>
        <v>-286000</v>
      </c>
      <c r="F11" s="1">
        <f>F10+Table1[[#This Row],[Change]]</f>
        <v>-121250</v>
      </c>
    </row>
    <row r="12" spans="1:9">
      <c r="A12" s="6">
        <v>43383</v>
      </c>
      <c r="B12" s="2" t="s">
        <v>15</v>
      </c>
      <c r="C12" s="1">
        <f>3*400000+0*140000</f>
        <v>1200000</v>
      </c>
      <c r="D12" s="1">
        <f>D11 + Table1[[#This Row],[Bet Value]]</f>
        <v>9400000</v>
      </c>
      <c r="E12" s="1">
        <f>350000+40000</f>
        <v>390000</v>
      </c>
      <c r="F12" s="1">
        <f>F11+Table1[[#This Row],[Change]]</f>
        <v>268750</v>
      </c>
    </row>
    <row r="13" spans="1:9">
      <c r="A13" s="6">
        <v>43386</v>
      </c>
      <c r="B13" s="2" t="s">
        <v>12</v>
      </c>
      <c r="C13" s="1">
        <f>2*400000+2*140000</f>
        <v>1080000</v>
      </c>
      <c r="D13" s="1">
        <f>D12 + Table1[[#This Row],[Bet Value]]</f>
        <v>10480000</v>
      </c>
      <c r="E13" s="1">
        <f>-1080000+108000</f>
        <v>-972000</v>
      </c>
      <c r="F13" s="1">
        <f>F12+Table1[[#This Row],[Change]]</f>
        <v>-703250</v>
      </c>
    </row>
    <row r="14" spans="1:9">
      <c r="A14" s="6">
        <v>43391</v>
      </c>
      <c r="B14" s="2" t="s">
        <v>16</v>
      </c>
      <c r="C14" s="1">
        <f>3*400000+0*140000</f>
        <v>1200000</v>
      </c>
      <c r="D14" s="1">
        <f>D13 + Table1[[#This Row],[Bet Value]]</f>
        <v>11680000</v>
      </c>
      <c r="E14" s="1">
        <f>-360000+80000</f>
        <v>-280000</v>
      </c>
      <c r="F14" s="1">
        <f>F13+Table1[[#This Row],[Change]]</f>
        <v>-983250</v>
      </c>
    </row>
    <row r="15" spans="1:9">
      <c r="A15" s="6">
        <v>43394</v>
      </c>
      <c r="B15" s="2" t="s">
        <v>11</v>
      </c>
      <c r="C15" s="1">
        <f>1*400000+1*140000</f>
        <v>540000</v>
      </c>
      <c r="D15" s="1">
        <f>D14 + Table1[[#This Row],[Bet Value]]</f>
        <v>12220000</v>
      </c>
      <c r="E15" s="1">
        <f>-540000+54000</f>
        <v>-486000</v>
      </c>
      <c r="F15" s="1">
        <f>F14+Table1[[#This Row],[Change]]</f>
        <v>-1469250</v>
      </c>
    </row>
    <row r="16" spans="1:9">
      <c r="A16" s="6">
        <v>43397</v>
      </c>
      <c r="B16" s="2" t="s">
        <v>14</v>
      </c>
      <c r="C16" s="1">
        <f>2*400000+0*140000</f>
        <v>800000</v>
      </c>
      <c r="D16" s="1">
        <f>D15 + Table1[[#This Row],[Bet Value]]</f>
        <v>13020000</v>
      </c>
      <c r="E16" s="1">
        <f>-275000+40000</f>
        <v>-235000</v>
      </c>
      <c r="F16" s="1">
        <f>F15+Table1[[#This Row],[Change]]</f>
        <v>-1704250</v>
      </c>
    </row>
    <row r="17" spans="1:6">
      <c r="A17" s="6">
        <v>43401</v>
      </c>
      <c r="B17" s="2" t="s">
        <v>10</v>
      </c>
      <c r="C17" s="1">
        <f>1*400000+0*140000</f>
        <v>400000</v>
      </c>
      <c r="D17" s="1">
        <f>D16 + Table1[[#This Row],[Bet Value]]</f>
        <v>13420000</v>
      </c>
      <c r="E17" s="1">
        <f>645000+0</f>
        <v>645000</v>
      </c>
      <c r="F17" s="1">
        <f>F16+Table1[[#This Row],[Change]]</f>
        <v>-1059250</v>
      </c>
    </row>
    <row r="18" spans="1:6">
      <c r="A18" s="6">
        <v>43404</v>
      </c>
      <c r="B18" s="2" t="s">
        <v>17</v>
      </c>
      <c r="C18" s="1">
        <f>2*400000+2*140000</f>
        <v>1080000</v>
      </c>
      <c r="D18" s="1">
        <f>D17 + Table1[[#This Row],[Bet Value]]</f>
        <v>14500000</v>
      </c>
      <c r="E18" s="1">
        <f>1320000+28000</f>
        <v>1348000</v>
      </c>
      <c r="F18" s="1">
        <f>F17+Table1[[#This Row],[Change]]</f>
        <v>288750</v>
      </c>
    </row>
    <row r="19" spans="1:6">
      <c r="A19" s="6">
        <v>43408</v>
      </c>
      <c r="B19" s="2" t="s">
        <v>14</v>
      </c>
      <c r="C19" s="1">
        <f>2*400000+1*140000</f>
        <v>940000</v>
      </c>
      <c r="D19" s="1">
        <f>D18 + Table1[[#This Row],[Bet Value]]</f>
        <v>15440000</v>
      </c>
      <c r="E19" s="1">
        <f>-55000+54000</f>
        <v>-1000</v>
      </c>
      <c r="F19" s="1">
        <f>F18+Table1[[#This Row],[Change]]</f>
        <v>287750</v>
      </c>
    </row>
    <row r="20" spans="1:6">
      <c r="A20" s="6">
        <v>43411</v>
      </c>
      <c r="B20" s="2" t="s">
        <v>12</v>
      </c>
      <c r="C20" s="1">
        <f>2*400000+0*140000</f>
        <v>800000</v>
      </c>
      <c r="D20" s="1">
        <f>D19 + Table1[[#This Row],[Bet Value]]</f>
        <v>16240000</v>
      </c>
      <c r="E20" s="1">
        <f>-800000+80000</f>
        <v>-720000</v>
      </c>
      <c r="F20" s="1">
        <f>F19+Table1[[#This Row],[Change]]</f>
        <v>-432250</v>
      </c>
    </row>
    <row r="21" spans="1:6">
      <c r="A21" s="6">
        <v>43414</v>
      </c>
      <c r="B21" s="2" t="s">
        <v>18</v>
      </c>
      <c r="C21" s="1">
        <f>3*400000+2*140000</f>
        <v>1480000</v>
      </c>
      <c r="D21" s="1">
        <f>D20 + Table1[[#This Row],[Bet Value]]</f>
        <v>17720000</v>
      </c>
      <c r="E21" s="1">
        <f>-640000+108000</f>
        <v>-532000</v>
      </c>
      <c r="F21" s="1">
        <f>F20+Table1[[#This Row],[Change]]</f>
        <v>-964250</v>
      </c>
    </row>
    <row r="22" spans="1:6">
      <c r="A22" s="6">
        <v>43418</v>
      </c>
      <c r="B22" s="2" t="s">
        <v>12</v>
      </c>
      <c r="C22" s="1">
        <f>2*400000+0*140000</f>
        <v>800000</v>
      </c>
      <c r="D22" s="1">
        <f>D21 + Table1[[#This Row],[Bet Value]]</f>
        <v>18520000</v>
      </c>
      <c r="E22" s="1">
        <f>-800000+80000</f>
        <v>-720000</v>
      </c>
      <c r="F22" s="1">
        <f>F21+Table1[[#This Row],[Change]]</f>
        <v>-1684250</v>
      </c>
    </row>
    <row r="23" spans="1:6">
      <c r="A23" s="6">
        <v>43422</v>
      </c>
      <c r="B23" s="2" t="s">
        <v>10</v>
      </c>
      <c r="C23" s="1">
        <f>1*400000+0*140000</f>
        <v>400000</v>
      </c>
      <c r="D23" s="1">
        <f>D22 + Table1[[#This Row],[Bet Value]]</f>
        <v>18920000</v>
      </c>
      <c r="E23" s="1">
        <f>495000+0</f>
        <v>495000</v>
      </c>
      <c r="F23" s="1">
        <f>F22+Table1[[#This Row],[Change]]</f>
        <v>-1189250</v>
      </c>
    </row>
    <row r="24" spans="1:6">
      <c r="A24" s="6">
        <v>43425</v>
      </c>
      <c r="B24" s="2" t="s">
        <v>12</v>
      </c>
      <c r="C24" s="1">
        <f>2*400000+0*140000</f>
        <v>800000</v>
      </c>
      <c r="D24" s="1">
        <f>D23 + Table1[[#This Row],[Bet Value]]</f>
        <v>19720000</v>
      </c>
      <c r="E24" s="1">
        <f>-800000+80000</f>
        <v>-720000</v>
      </c>
      <c r="F24" s="1">
        <f>F23+Table1[[#This Row],[Change]]</f>
        <v>-1909250</v>
      </c>
    </row>
    <row r="25" spans="1:6">
      <c r="A25" s="6">
        <v>43429</v>
      </c>
      <c r="B25" s="2" t="s">
        <v>11</v>
      </c>
      <c r="C25" s="1">
        <f>1*400000+1*140000</f>
        <v>540000</v>
      </c>
      <c r="D25" s="1">
        <f>D24 + Table1[[#This Row],[Bet Value]]</f>
        <v>20260000</v>
      </c>
      <c r="E25" s="1">
        <f>-540000+54000</f>
        <v>-486000</v>
      </c>
      <c r="F25" s="1">
        <f>F24+Table1[[#This Row],[Change]]</f>
        <v>-2395250</v>
      </c>
    </row>
    <row r="26" spans="1:6">
      <c r="A26" s="6">
        <v>43432</v>
      </c>
      <c r="B26" s="2" t="s">
        <v>8</v>
      </c>
      <c r="C26" s="1">
        <f>2*400000+1*140000</f>
        <v>940000</v>
      </c>
      <c r="D26" s="1">
        <f>D25 + Table1[[#This Row],[Bet Value]]</f>
        <v>21200000</v>
      </c>
      <c r="E26" s="1">
        <f>542000+40000</f>
        <v>582000</v>
      </c>
      <c r="F26" s="1">
        <f>F25+Table1[[#This Row],[Change]]</f>
        <v>-1813250</v>
      </c>
    </row>
    <row r="27" spans="1:6">
      <c r="A27" s="6">
        <v>43436</v>
      </c>
      <c r="B27" s="2" t="s">
        <v>19</v>
      </c>
      <c r="C27" s="1">
        <f>3*400000+1*140000</f>
        <v>1340000</v>
      </c>
      <c r="D27" s="1">
        <f>D26 + Table1[[#This Row],[Bet Value]]</f>
        <v>22540000</v>
      </c>
      <c r="E27" s="1">
        <f>54000-80000</f>
        <v>-26000</v>
      </c>
      <c r="F27" s="1">
        <f>F26+Table1[[#This Row],[Change]]</f>
        <v>-1839250</v>
      </c>
    </row>
    <row r="28" spans="1:6">
      <c r="A28" s="6">
        <v>43439</v>
      </c>
      <c r="B28" s="2" t="s">
        <v>18</v>
      </c>
      <c r="C28" s="1">
        <f>3*400000+1*140000</f>
        <v>1340000</v>
      </c>
      <c r="D28" s="1">
        <f>D27 + Table1[[#This Row],[Bet Value]]</f>
        <v>23880000</v>
      </c>
      <c r="E28" s="1">
        <f>-845000+94000</f>
        <v>-751000</v>
      </c>
      <c r="F28" s="1">
        <f>F27+Table1[[#This Row],[Change]]</f>
        <v>-2590250</v>
      </c>
    </row>
    <row r="29" spans="1:6">
      <c r="A29" s="6">
        <v>43443</v>
      </c>
      <c r="B29" s="2" t="s">
        <v>12</v>
      </c>
      <c r="C29" s="1">
        <f>2*400000+1*140000</f>
        <v>940000</v>
      </c>
      <c r="D29" s="1">
        <f>D28 + Table1[[#This Row],[Bet Value]]</f>
        <v>24820000</v>
      </c>
      <c r="E29" s="1">
        <f>-940000+94000</f>
        <v>-846000</v>
      </c>
      <c r="F29" s="1">
        <f>F28+Table1[[#This Row],[Change]]</f>
        <v>-3436250</v>
      </c>
    </row>
    <row r="30" spans="1:6">
      <c r="A30" s="6">
        <v>43446</v>
      </c>
      <c r="B30" s="2" t="s">
        <v>14</v>
      </c>
      <c r="C30" s="1">
        <f>2*400000+1*140000</f>
        <v>940000</v>
      </c>
      <c r="D30" s="1">
        <f>D29 + Table1[[#This Row],[Bet Value]]</f>
        <v>25760000</v>
      </c>
      <c r="E30" s="1">
        <f>-370000+54000</f>
        <v>-316000</v>
      </c>
      <c r="F30" s="1">
        <f>F29+Table1[[#This Row],[Change]]</f>
        <v>-3752250</v>
      </c>
    </row>
    <row r="31" spans="1:6">
      <c r="A31" s="6">
        <v>43450</v>
      </c>
      <c r="B31" s="2" t="s">
        <v>20</v>
      </c>
      <c r="C31" s="1">
        <f>2*400000+2*140000</f>
        <v>1080000</v>
      </c>
      <c r="D31" s="1">
        <f>D30 + Table1[[#This Row],[Bet Value]]</f>
        <v>26840000</v>
      </c>
      <c r="E31" s="1">
        <f>779250+14000</f>
        <v>793250</v>
      </c>
      <c r="F31" s="1">
        <f>F30+Table1[[#This Row],[Change]]</f>
        <v>-2959000</v>
      </c>
    </row>
    <row r="32" spans="1:6">
      <c r="A32" s="6">
        <v>43453</v>
      </c>
      <c r="B32" s="2" t="s">
        <v>12</v>
      </c>
      <c r="C32" s="1">
        <f>2*400000+1*140000</f>
        <v>940000</v>
      </c>
      <c r="D32" s="1">
        <f>D31 + Table1[[#This Row],[Bet Value]]</f>
        <v>27780000</v>
      </c>
      <c r="E32" s="1">
        <f>-940000+94000</f>
        <v>-846000</v>
      </c>
      <c r="F32" s="1">
        <f>F31+Table1[[#This Row],[Change]]</f>
        <v>-3805000</v>
      </c>
    </row>
    <row r="33" spans="1:6">
      <c r="A33" s="6">
        <v>43457</v>
      </c>
      <c r="B33" s="2" t="s">
        <v>21</v>
      </c>
      <c r="C33" s="1">
        <f>2*400000+1*140000</f>
        <v>940000</v>
      </c>
      <c r="D33" s="1">
        <f>D32 + Table1[[#This Row],[Bet Value]]</f>
        <v>28720000</v>
      </c>
      <c r="E33" s="1">
        <f>-20000+54000</f>
        <v>34000</v>
      </c>
      <c r="F33" s="1">
        <f>F32+Table1[[#This Row],[Change]]</f>
        <v>-3771000</v>
      </c>
    </row>
    <row r="34" spans="1:6">
      <c r="A34" s="6">
        <v>43460</v>
      </c>
      <c r="B34" s="2" t="s">
        <v>11</v>
      </c>
      <c r="C34" s="1">
        <f>1*400000+0*140000</f>
        <v>400000</v>
      </c>
      <c r="D34" s="1">
        <f>D33 + Table1[[#This Row],[Bet Value]]</f>
        <v>29120000</v>
      </c>
      <c r="E34" s="1">
        <f>-400000+40000</f>
        <v>-360000</v>
      </c>
      <c r="F34" s="1">
        <f>F33+Table1[[#This Row],[Change]]</f>
        <v>-4131000</v>
      </c>
    </row>
    <row r="35" spans="1:6">
      <c r="A35" s="6">
        <v>43463</v>
      </c>
      <c r="B35" s="2" t="s">
        <v>22</v>
      </c>
      <c r="C35" s="1">
        <f>3*400000+2*140000</f>
        <v>1480000</v>
      </c>
      <c r="D35" s="1">
        <f>D34 + Table1[[#This Row],[Bet Value]]</f>
        <v>30600000</v>
      </c>
      <c r="E35" s="1">
        <f>6506000+14000</f>
        <v>6520000</v>
      </c>
      <c r="F35" s="1">
        <f>F34+Table1[[#This Row],[Change]]</f>
        <v>2389000</v>
      </c>
    </row>
    <row r="36" spans="1:6">
      <c r="A36" s="6">
        <v>43466</v>
      </c>
      <c r="B36" s="2" t="s">
        <v>15</v>
      </c>
      <c r="C36" s="1">
        <f>3*400000+1*140000</f>
        <v>1340000</v>
      </c>
      <c r="D36" s="1">
        <f>D35 + Table1[[#This Row],[Bet Value]]</f>
        <v>31940000</v>
      </c>
      <c r="E36" s="1">
        <f>0+54000</f>
        <v>54000</v>
      </c>
      <c r="F36" s="1">
        <f>F35+Table1[[#This Row],[Change]]</f>
        <v>2443000</v>
      </c>
    </row>
    <row r="37" spans="1:6">
      <c r="A37" s="6">
        <v>43471</v>
      </c>
      <c r="B37" s="2" t="s">
        <v>23</v>
      </c>
      <c r="C37" s="1">
        <f>5*400000+2*140000</f>
        <v>2280000</v>
      </c>
      <c r="D37" s="1">
        <f>D36 + Table1[[#This Row],[Bet Value]]</f>
        <v>34220000</v>
      </c>
      <c r="E37" s="1">
        <f>436250+94000</f>
        <v>530250</v>
      </c>
      <c r="F37" s="1">
        <f>F36+Table1[[#This Row],[Change]]</f>
        <v>2973250</v>
      </c>
    </row>
    <row r="38" spans="1:6">
      <c r="A38" s="6">
        <v>43474</v>
      </c>
      <c r="B38" s="2" t="s">
        <v>24</v>
      </c>
      <c r="C38" s="1">
        <f>2*400000+2*140000</f>
        <v>1080000</v>
      </c>
      <c r="D38" s="1">
        <f>D37 + Table1[[#This Row],[Bet Value]]</f>
        <v>35300000</v>
      </c>
      <c r="E38" s="1">
        <f>-1080000+108000</f>
        <v>-972000</v>
      </c>
      <c r="F38" s="1">
        <f>F37+Table1[[#This Row],[Change]]</f>
        <v>2001250</v>
      </c>
    </row>
    <row r="39" spans="1:6">
      <c r="A39" s="6">
        <v>43477</v>
      </c>
      <c r="B39" s="2" t="s">
        <v>24</v>
      </c>
      <c r="C39" s="1">
        <f>2*400000+2*140000</f>
        <v>1080000</v>
      </c>
      <c r="D39" s="1">
        <f>D38 + Table1[[#This Row],[Bet Value]]</f>
        <v>36380000</v>
      </c>
      <c r="E39" s="1">
        <f>-1080000+108000</f>
        <v>-972000</v>
      </c>
      <c r="F39" s="1">
        <f>F38+Table1[[#This Row],[Change]]</f>
        <v>1029250</v>
      </c>
    </row>
    <row r="40" spans="1:6">
      <c r="A40" s="6">
        <v>43481</v>
      </c>
      <c r="B40" s="2" t="s">
        <v>25</v>
      </c>
      <c r="C40" s="1">
        <f>3*400000+2*140000</f>
        <v>1480000</v>
      </c>
      <c r="D40" s="1">
        <f>D39 + Table1[[#This Row],[Bet Value]]</f>
        <v>37860000</v>
      </c>
      <c r="E40" s="1">
        <f>-1480000+148000</f>
        <v>-1332000</v>
      </c>
      <c r="F40" s="1">
        <f>F39+Table1[[#This Row],[Change]]</f>
        <v>-302750</v>
      </c>
    </row>
    <row r="41" spans="1:6">
      <c r="A41" s="6">
        <v>43485</v>
      </c>
      <c r="B41" s="2" t="s">
        <v>21</v>
      </c>
      <c r="C41" s="1">
        <f>2*400000+2*140000</f>
        <v>1080000</v>
      </c>
      <c r="D41" s="1">
        <f>D40 + Table1[[#This Row],[Bet Value]]</f>
        <v>38940000</v>
      </c>
      <c r="E41" s="1">
        <f>795000+0</f>
        <v>795000</v>
      </c>
      <c r="F41" s="1">
        <f>F40+Table1[[#This Row],[Change]]</f>
        <v>492250</v>
      </c>
    </row>
    <row r="42" spans="1:6">
      <c r="A42" s="6">
        <v>43488</v>
      </c>
      <c r="B42" s="2" t="s">
        <v>21</v>
      </c>
      <c r="C42" s="1">
        <f>2*400000+2*140000</f>
        <v>1080000</v>
      </c>
      <c r="D42" s="1">
        <f>D41 + Table1[[#This Row],[Bet Value]]</f>
        <v>40020000</v>
      </c>
      <c r="E42" s="1">
        <f>-310000+68000</f>
        <v>-242000</v>
      </c>
      <c r="F42" s="1">
        <f>F41+Table1[[#This Row],[Change]]</f>
        <v>250250</v>
      </c>
    </row>
    <row r="43" spans="1:6">
      <c r="A43" s="6">
        <v>43492</v>
      </c>
      <c r="B43" s="2" t="s">
        <v>13</v>
      </c>
      <c r="C43" s="1">
        <f>4*400000+2*140000</f>
        <v>1880000</v>
      </c>
      <c r="D43" s="1">
        <f>D42 + Table1[[#This Row],[Bet Value]]</f>
        <v>41900000</v>
      </c>
      <c r="E43" s="1">
        <f>-750000+148000</f>
        <v>-602000</v>
      </c>
      <c r="F43" s="1">
        <f>F42+Table1[[#This Row],[Change]]</f>
        <v>-351750</v>
      </c>
    </row>
    <row r="44" spans="1:6">
      <c r="A44" s="6">
        <v>43495</v>
      </c>
      <c r="B44" s="2" t="s">
        <v>26</v>
      </c>
      <c r="C44" s="1">
        <f>4*400000+3*140000</f>
        <v>2020000</v>
      </c>
      <c r="D44" s="1">
        <f>D43 + Table1[[#This Row],[Bet Value]]</f>
        <v>43920000</v>
      </c>
      <c r="E44" s="1">
        <f>782000+94000</f>
        <v>876000</v>
      </c>
      <c r="F44" s="1">
        <f>F43+Table1[[#This Row],[Change]]</f>
        <v>524250</v>
      </c>
    </row>
    <row r="45" spans="1:6">
      <c r="A45" s="6">
        <v>43498</v>
      </c>
      <c r="B45" s="2" t="s">
        <v>27</v>
      </c>
      <c r="C45" s="1">
        <f>3*400000+2*140000</f>
        <v>1480000</v>
      </c>
      <c r="D45" s="1">
        <f>D44 + Table1[[#This Row],[Bet Value]]</f>
        <v>45400000</v>
      </c>
      <c r="E45" s="1">
        <f>1114250+94000</f>
        <v>1208250</v>
      </c>
      <c r="F45" s="1">
        <f>F44+Table1[[#This Row],[Change]]</f>
        <v>1732500</v>
      </c>
    </row>
    <row r="46" spans="1:6">
      <c r="A46" s="6">
        <v>43503</v>
      </c>
      <c r="B46" s="2" t="s">
        <v>28</v>
      </c>
      <c r="C46" s="1">
        <f>8*400000+3*140000</f>
        <v>3620000</v>
      </c>
      <c r="D46" s="1">
        <f>D45 + Table1[[#This Row],[Bet Value]]</f>
        <v>49020000</v>
      </c>
      <c r="E46" s="1">
        <f>-1145000+202000</f>
        <v>-943000</v>
      </c>
      <c r="F46" s="1">
        <f>F45+Table1[[#This Row],[Change]]</f>
        <v>789500</v>
      </c>
    </row>
    <row r="47" spans="1:6">
      <c r="A47" s="6">
        <v>43506</v>
      </c>
      <c r="B47" s="2" t="s">
        <v>29</v>
      </c>
      <c r="C47" s="1">
        <f>5*400000+5*140000</f>
        <v>2700000</v>
      </c>
      <c r="D47" s="1">
        <f>D46 + Table1[[#This Row],[Bet Value]]</f>
        <v>51720000</v>
      </c>
      <c r="E47" s="1">
        <f>-1675500+216000</f>
        <v>-1459500</v>
      </c>
      <c r="F47" s="1">
        <f>F46+Table1[[#This Row],[Change]]</f>
        <v>-670000</v>
      </c>
    </row>
    <row r="48" spans="1:6">
      <c r="A48" s="6">
        <v>43509</v>
      </c>
      <c r="B48" s="2" t="s">
        <v>30</v>
      </c>
      <c r="C48" s="1">
        <f>6*400000+0*140000</f>
        <v>2400000</v>
      </c>
      <c r="D48" s="1">
        <f>D47 + Table1[[#This Row],[Bet Value]]</f>
        <v>54120000</v>
      </c>
      <c r="E48" s="1">
        <f>745000+120000</f>
        <v>865000</v>
      </c>
      <c r="F48" s="1">
        <f>F47+Table1[[#This Row],[Change]]</f>
        <v>195000</v>
      </c>
    </row>
    <row r="49" spans="1:6">
      <c r="A49" s="6">
        <v>43513</v>
      </c>
      <c r="B49" s="2" t="s">
        <v>31</v>
      </c>
      <c r="C49" s="1">
        <f>5*400000+3*140000</f>
        <v>2420000</v>
      </c>
      <c r="D49" s="1">
        <f>D48 + Table1[[#This Row],[Bet Value]]</f>
        <v>56540000</v>
      </c>
      <c r="E49" s="1">
        <f>-2420000+242000</f>
        <v>-2178000</v>
      </c>
      <c r="F49" s="1">
        <f>F48+Table1[[#This Row],[Change]]</f>
        <v>-1983000</v>
      </c>
    </row>
    <row r="50" spans="1:6">
      <c r="A50" s="6">
        <v>43516</v>
      </c>
      <c r="B50" s="2" t="s">
        <v>14</v>
      </c>
      <c r="C50" s="1">
        <f>2*400000+1*140000</f>
        <v>940000</v>
      </c>
      <c r="D50" s="1">
        <f>D49 + Table1[[#This Row],[Bet Value]]</f>
        <v>57480000</v>
      </c>
      <c r="E50" s="1">
        <f>-550000+54000</f>
        <v>-496000</v>
      </c>
      <c r="F50" s="1">
        <f>F49+Table1[[#This Row],[Change]]</f>
        <v>-2479000</v>
      </c>
    </row>
    <row r="51" spans="1:6">
      <c r="A51" s="6">
        <v>43520</v>
      </c>
      <c r="B51" s="2" t="s">
        <v>32</v>
      </c>
      <c r="C51" s="1">
        <f>4*400000+0*140000</f>
        <v>1600000</v>
      </c>
      <c r="D51" s="1">
        <f>D50 + Table1[[#This Row],[Bet Value]]</f>
        <v>59080000</v>
      </c>
      <c r="E51" s="1">
        <f>110000+40000</f>
        <v>150000</v>
      </c>
      <c r="F51" s="1">
        <f>F50+Table1[[#This Row],[Change]]</f>
        <v>-2329000</v>
      </c>
    </row>
    <row r="52" spans="1:6">
      <c r="A52" s="6">
        <v>43523</v>
      </c>
      <c r="B52" s="2" t="s">
        <v>33</v>
      </c>
      <c r="C52" s="1">
        <f>4*400000+0*140000</f>
        <v>1600000</v>
      </c>
      <c r="D52" s="1">
        <f>D51 + Table1[[#This Row],[Bet Value]]</f>
        <v>60680000</v>
      </c>
      <c r="E52" s="1">
        <f>45000+80000</f>
        <v>125000</v>
      </c>
      <c r="F52" s="1">
        <f>F51+Table1[[#This Row],[Change]]</f>
        <v>-2204000</v>
      </c>
    </row>
    <row r="53" spans="1:6">
      <c r="A53" s="6">
        <v>43526</v>
      </c>
      <c r="B53" s="2" t="s">
        <v>34</v>
      </c>
      <c r="C53" s="1">
        <f>4*400000+2*140000</f>
        <v>1880000</v>
      </c>
      <c r="D53" s="1">
        <f>D52 + Table1[[#This Row],[Bet Value]]</f>
        <v>62560000</v>
      </c>
      <c r="E53" s="1">
        <f>460000+28000</f>
        <v>488000</v>
      </c>
      <c r="F53" s="1">
        <f>F52+Table1[[#This Row],[Change]]</f>
        <v>-1716000</v>
      </c>
    </row>
    <row r="54" spans="1:6">
      <c r="A54" s="6">
        <v>43530</v>
      </c>
      <c r="B54" s="2" t="s">
        <v>12</v>
      </c>
      <c r="C54" s="1">
        <f>2*400000+1*140000</f>
        <v>940000</v>
      </c>
      <c r="D54" s="1">
        <f>D53 + Table1[[#This Row],[Bet Value]]</f>
        <v>63500000</v>
      </c>
      <c r="E54" s="1">
        <f>-940000+94000</f>
        <v>-846000</v>
      </c>
      <c r="F54" s="1">
        <f>F53+Table1[[#This Row],[Change]]</f>
        <v>-2562000</v>
      </c>
    </row>
    <row r="55" spans="1:6">
      <c r="A55" s="6">
        <v>43534</v>
      </c>
      <c r="B55" s="2" t="s">
        <v>12</v>
      </c>
      <c r="C55" s="1">
        <f>2*400000+3*140000</f>
        <v>1220000</v>
      </c>
      <c r="D55" s="1">
        <f>D54 + Table1[[#This Row],[Bet Value]]</f>
        <v>64720000</v>
      </c>
      <c r="E55" s="1">
        <f>-1220000+122000</f>
        <v>-1098000</v>
      </c>
      <c r="F55" s="1">
        <f>F54+Table1[[#This Row],[Change]]</f>
        <v>-3660000</v>
      </c>
    </row>
    <row r="56" spans="1:6">
      <c r="A56" s="6">
        <v>43537</v>
      </c>
      <c r="B56" s="2" t="s">
        <v>35</v>
      </c>
      <c r="C56" s="1">
        <f>6*400000+1*140000</f>
        <v>2540000</v>
      </c>
      <c r="D56" s="1">
        <f>D55 + Table1[[#This Row],[Bet Value]]</f>
        <v>67260000</v>
      </c>
      <c r="E56" s="1">
        <f>640000+134000</f>
        <v>774000</v>
      </c>
      <c r="F56" s="1">
        <f>F55+Table1[[#This Row],[Change]]</f>
        <v>-2886000</v>
      </c>
    </row>
    <row r="57" spans="1:6">
      <c r="A57" s="6">
        <v>43541</v>
      </c>
      <c r="B57" s="2" t="s">
        <v>25</v>
      </c>
      <c r="C57" s="1">
        <f>3*400000+3*140000</f>
        <v>1620000</v>
      </c>
      <c r="D57" s="1">
        <f>D56 + Table1[[#This Row],[Bet Value]]</f>
        <v>68880000</v>
      </c>
      <c r="E57" s="1">
        <f>-1620000+162000</f>
        <v>-1458000</v>
      </c>
      <c r="F57" s="1">
        <f>F56+Table1[[#This Row],[Change]]</f>
        <v>-4344000</v>
      </c>
    </row>
    <row r="58" spans="1:6">
      <c r="A58" s="6">
        <v>43544</v>
      </c>
      <c r="B58" s="2" t="s">
        <v>25</v>
      </c>
      <c r="C58" s="1">
        <f>3*400000+1*140000</f>
        <v>1340000</v>
      </c>
      <c r="D58" s="1">
        <f>D57 + Table1[[#This Row],[Bet Value]]</f>
        <v>70220000</v>
      </c>
      <c r="E58" s="1">
        <f>-1340000+134000</f>
        <v>-1206000</v>
      </c>
      <c r="F58" s="1">
        <f>F57+Table1[[#This Row],[Change]]</f>
        <v>-5550000</v>
      </c>
    </row>
    <row r="59" spans="1:6">
      <c r="A59" s="6">
        <v>43548</v>
      </c>
      <c r="B59" s="2" t="s">
        <v>14</v>
      </c>
      <c r="C59" s="1">
        <f>2*400000+2*140000</f>
        <v>1080000</v>
      </c>
      <c r="D59" s="1">
        <f>D58 + Table1[[#This Row],[Bet Value]]</f>
        <v>71300000</v>
      </c>
      <c r="E59" s="1">
        <f>-380000+40000</f>
        <v>-340000</v>
      </c>
      <c r="F59" s="1">
        <f>F58+Table1[[#This Row],[Change]]</f>
        <v>-5890000</v>
      </c>
    </row>
    <row r="60" spans="1:6">
      <c r="A60" s="6">
        <v>43551</v>
      </c>
      <c r="B60" s="2" t="s">
        <v>25</v>
      </c>
      <c r="C60" s="1">
        <f>3*400000+2*140000</f>
        <v>1480000</v>
      </c>
      <c r="D60" s="1">
        <f>D59 + Table1[[#This Row],[Bet Value]]</f>
        <v>72780000</v>
      </c>
      <c r="E60" s="1">
        <f>-1480000+148000</f>
        <v>-1332000</v>
      </c>
      <c r="F60" s="1">
        <f>F59+Table1[[#This Row],[Change]]</f>
        <v>-7222000</v>
      </c>
    </row>
    <row r="61" spans="1:6">
      <c r="A61" s="6">
        <v>43555</v>
      </c>
      <c r="B61" s="2" t="s">
        <v>21</v>
      </c>
      <c r="C61" s="1">
        <f>2*400000+2*140000</f>
        <v>1080000</v>
      </c>
      <c r="D61" s="1">
        <f>D60 + Table1[[#This Row],[Bet Value]]</f>
        <v>73860000</v>
      </c>
      <c r="E61" s="1">
        <f>425000+40000</f>
        <v>465000</v>
      </c>
      <c r="F61" s="1">
        <f>F60+Table1[[#This Row],[Change]]</f>
        <v>-6757000</v>
      </c>
    </row>
    <row r="62" spans="1:6">
      <c r="A62" s="6">
        <v>43558</v>
      </c>
      <c r="B62" s="2" t="s">
        <v>21</v>
      </c>
      <c r="C62" s="1">
        <f>2*400000+2*140000</f>
        <v>1080000</v>
      </c>
      <c r="D62" s="1">
        <f>D61 + Table1[[#This Row],[Bet Value]]</f>
        <v>74940000</v>
      </c>
      <c r="E62" s="1">
        <f>-385000+68000</f>
        <v>-317000</v>
      </c>
      <c r="F62" s="1">
        <f>F61+Table1[[#This Row],[Change]]</f>
        <v>-7074000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5F6E4F-7121-4038-9AB3-521B2E2795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2019-04-03T21:52:53Z</dcterms:modified>
</cp:coreProperties>
</file>