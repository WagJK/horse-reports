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Work\Horse Reports\project\convert\"/>
    </mc:Choice>
  </mc:AlternateContent>
  <xr:revisionPtr revIDLastSave="0" documentId="10_ncr:100000_{F311B65B-1B88-4DD7-8B96-E99CC172AB6F}" xr6:coauthVersionLast="31" xr6:coauthVersionMax="41" xr10:uidLastSave="{00000000-0000-0000-0000-000000000000}"/>
  <bookViews>
    <workbookView xWindow="0" yWindow="0" windowWidth="17130" windowHeight="633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84" i="1"/>
  <c r="C84" i="1"/>
  <c r="E83" i="1" l="1"/>
  <c r="C83" i="1"/>
  <c r="E82" i="1" l="1"/>
  <c r="C82" i="1"/>
  <c r="E81" i="1" l="1"/>
  <c r="C81" i="1"/>
  <c r="E80" i="1" l="1"/>
  <c r="C80" i="1"/>
  <c r="E79" i="1" l="1"/>
  <c r="C79" i="1"/>
  <c r="C78" i="1" l="1"/>
  <c r="E78" i="1"/>
  <c r="E77" i="1" l="1"/>
  <c r="C77" i="1"/>
  <c r="C76" i="1" l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<sst xmlns="http://schemas.openxmlformats.org/spreadsheetml/2006/main" count="94" uniqueCount="42">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</sst>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Fund!$A$2:$A$84</c:f>
              <c:strCache>
                <c:ptCount val="83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  <c:pt idx="75">
                  <c:v>2019/5/26</c:v>
                </c:pt>
                <c:pt idx="76">
                  <c:v>2019/5/29</c:v>
                </c:pt>
                <c:pt idx="77">
                  <c:v>2019/6/2</c:v>
                </c:pt>
                <c:pt idx="78">
                  <c:v>2019/6/5</c:v>
                </c:pt>
                <c:pt idx="79">
                  <c:v>2019/6/8</c:v>
                </c:pt>
                <c:pt idx="80">
                  <c:v>2019/6/12</c:v>
                </c:pt>
                <c:pt idx="81">
                  <c:v>2019/6/16</c:v>
                </c:pt>
                <c:pt idx="82">
                  <c:v>2019/6/23</c:v>
                </c:pt>
              </c:strCache>
            </c:strRef>
          </c:cat>
          <c:val>
            <c:numRef>
              <c:f>Fund!$F$2:$F$84</c:f>
              <c:numCache>
                <c:formatCode>General</c:formatCode>
                <c:ptCount val="83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  <c:pt idx="75">
                  <c:v>-6624500</c:v>
                </c:pt>
                <c:pt idx="76">
                  <c:v>-5664500</c:v>
                </c:pt>
                <c:pt idx="77">
                  <c:v>-6226500</c:v>
                </c:pt>
                <c:pt idx="78">
                  <c:v>-6712500</c:v>
                </c:pt>
                <c:pt idx="79">
                  <c:v>-7432500</c:v>
                </c:pt>
                <c:pt idx="80">
                  <c:v>-7432500</c:v>
                </c:pt>
                <c:pt idx="81">
                  <c:v>-6292500</c:v>
                </c:pt>
                <c:pt idx="82">
                  <c:v>-5842500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4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F84</f>
        <v>-5842500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  <row r="77" spans="1:6">
      <c r="A77" s="6">
        <v>43611</v>
      </c>
      <c r="B77" s="2" t="s">
        <v>11</v>
      </c>
      <c r="C77" s="1">
        <f>1*400000+1*140000</f>
        <v>540000</v>
      </c>
      <c r="D77" s="1">
        <f>D76 + Table1[[#This Row],[Bet Value]]</f>
        <v>90480000</v>
      </c>
      <c r="E77" s="1">
        <f>-540000+54000</f>
        <v>-486000</v>
      </c>
      <c r="F77" s="1">
        <f>F76+Table1[[#This Row],[Change]]</f>
        <v>-6624500</v>
      </c>
    </row>
    <row r="78" spans="1:6">
      <c r="A78" s="6">
        <v>43614</v>
      </c>
      <c r="B78" s="2" t="s">
        <v>10</v>
      </c>
      <c r="C78" s="1">
        <f>1*400000+0*140000</f>
        <v>400000</v>
      </c>
      <c r="D78" s="1">
        <f>D77 + Table1[[#This Row],[Bet Value]]</f>
        <v>90880000</v>
      </c>
      <c r="E78" s="1">
        <f>960000</f>
        <v>960000</v>
      </c>
      <c r="F78" s="1">
        <f>F77+Table1[[#This Row],[Change]]</f>
        <v>-5664500</v>
      </c>
    </row>
    <row r="79" spans="1:6">
      <c r="A79" s="6">
        <v>43618</v>
      </c>
      <c r="B79" s="2" t="s">
        <v>14</v>
      </c>
      <c r="C79" s="1">
        <f>2*400000+2*140000</f>
        <v>1080000</v>
      </c>
      <c r="D79" s="1">
        <f>D78 + Table1[[#This Row],[Bet Value]]</f>
        <v>91960000</v>
      </c>
      <c r="E79" s="1">
        <f>-630000+68000</f>
        <v>-562000</v>
      </c>
      <c r="F79" s="1">
        <f>F78+Table1[[#This Row],[Change]]</f>
        <v>-6226500</v>
      </c>
    </row>
    <row r="80" spans="1:6">
      <c r="A80" s="6">
        <v>43621</v>
      </c>
      <c r="B80" s="2" t="s">
        <v>11</v>
      </c>
      <c r="C80" s="1">
        <f>1*400000+1*140000</f>
        <v>540000</v>
      </c>
      <c r="D80" s="1">
        <f>D79 + Table1[[#This Row],[Bet Value]]</f>
        <v>92500000</v>
      </c>
      <c r="E80" s="1">
        <f>-540000+54000</f>
        <v>-486000</v>
      </c>
      <c r="F80" s="1">
        <f>F79+Table1[[#This Row],[Change]]</f>
        <v>-6712500</v>
      </c>
    </row>
    <row r="81" spans="1:6">
      <c r="A81" s="6">
        <v>43624</v>
      </c>
      <c r="B81" s="2" t="s">
        <v>12</v>
      </c>
      <c r="C81" s="1">
        <f>2*400000+0*140000</f>
        <v>800000</v>
      </c>
      <c r="D81" s="1">
        <f>D80 + Table1[[#This Row],[Bet Value]]</f>
        <v>93300000</v>
      </c>
      <c r="E81" s="1">
        <f>-800000+80000</f>
        <v>-720000</v>
      </c>
      <c r="F81" s="1">
        <f>F80+Table1[[#This Row],[Change]]</f>
        <v>-7432500</v>
      </c>
    </row>
    <row r="82" spans="1:6">
      <c r="A82" s="6">
        <v>43628</v>
      </c>
      <c r="B82" s="2" t="s">
        <v>40</v>
      </c>
      <c r="C82" s="1">
        <f>0*400000+0*140000</f>
        <v>0</v>
      </c>
      <c r="D82" s="1">
        <f>D81 + Table1[[#This Row],[Bet Value]]</f>
        <v>93300000</v>
      </c>
      <c r="E82" s="1">
        <f>0+0</f>
        <v>0</v>
      </c>
      <c r="F82" s="1">
        <f>F81+Table1[[#This Row],[Change]]</f>
        <v>-7432500</v>
      </c>
    </row>
    <row r="83" spans="1:6">
      <c r="A83" s="6">
        <v>43632</v>
      </c>
      <c r="B83" s="2" t="s">
        <v>41</v>
      </c>
      <c r="C83" s="1">
        <f>2*400000+0*140000</f>
        <v>800000</v>
      </c>
      <c r="D83" s="1">
        <f>D82 + Table1[[#This Row],[Bet Value]]</f>
        <v>94100000</v>
      </c>
      <c r="E83" s="1">
        <f>1140000+0</f>
        <v>1140000</v>
      </c>
      <c r="F83" s="1">
        <f>F82+Table1[[#This Row],[Change]]</f>
        <v>-6292500</v>
      </c>
    </row>
    <row r="84" spans="1:6">
      <c r="A84" s="6">
        <v>43639</v>
      </c>
      <c r="B84" s="2" t="s">
        <v>10</v>
      </c>
      <c r="C84" s="1">
        <f>1*400000+0*140000</f>
        <v>400000</v>
      </c>
      <c r="D84" s="1">
        <f>D83 + Table1[[#This Row],[Bet Value]]</f>
        <v>94500000</v>
      </c>
      <c r="E84" s="1">
        <f>450000+0</f>
        <v>450000</v>
      </c>
      <c r="F84" s="1">
        <f>F83+Table1[[#This Row],[Change]]</f>
        <v>-5842500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2019-06-24T04:51:47Z</dcterms:modified>
</cp:coreProperties>
</file>