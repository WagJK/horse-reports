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6C38DE66-822F-43A9-84BB-78F91503C432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83" i="1"/>
  <c r="C83" i="1"/>
  <c r="E82" i="1" l="1"/>
  <c r="C82" i="1"/>
  <c r="E81" i="1" l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<sst xmlns="http://schemas.openxmlformats.org/spreadsheetml/2006/main" count="93" uniqueCount="42">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</sst>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Fund!$A$2:$A$83</c:f>
              <c:strCache>
                <c:ptCount val="82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  <c:pt idx="80">
                  <c:v>2019/6/12</c:v>
                </c:pt>
                <c:pt idx="81">
                  <c:v>2019/6/16</c:v>
                </c:pt>
              </c:strCache>
            </c:strRef>
          </c:cat>
          <c:val>
            <c:numRef>
              <c:f>Fund!$F$2:$F$83</c:f>
              <c:numCache>
                <c:formatCode>General</c:formatCode>
                <c:ptCount val="82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  <c:pt idx="80">
                  <c:v>-7432500</c:v>
                </c:pt>
                <c:pt idx="81">
                  <c:v>-6292500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F83</f>
        <v>-6292500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  <row r="82" spans="1:6">
      <c r="A82" s="6">
        <v>43628</v>
      </c>
      <c r="B82" s="2" t="s">
        <v>40</v>
      </c>
      <c r="C82" s="1">
        <f>0*400000+0*140000</f>
        <v>0</v>
      </c>
      <c r="D82" s="1">
        <f>D81 + Table1[[#This Row],[Bet Value]]</f>
        <v>93300000</v>
      </c>
      <c r="E82" s="1">
        <f>0+0</f>
        <v>0</v>
      </c>
      <c r="F82" s="1">
        <f>F81+Table1[[#This Row],[Change]]</f>
        <v>-7432500</v>
      </c>
    </row>
    <row r="83" spans="1:6">
      <c r="A83" s="6">
        <v>43632</v>
      </c>
      <c r="B83" s="2" t="s">
        <v>41</v>
      </c>
      <c r="C83" s="1">
        <f>2*400000+0*140000</f>
        <v>800000</v>
      </c>
      <c r="D83" s="1">
        <f>D82 + Table1[[#This Row],[Bet Value]]</f>
        <v>94100000</v>
      </c>
      <c r="E83" s="1">
        <f>1140000+0</f>
        <v>1140000</v>
      </c>
      <c r="F83" s="1">
        <f>F82+Table1[[#This Row],[Change]]</f>
        <v>-6292500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2019-06-17T00:43:56Z</dcterms:modified>
</cp:coreProperties>
</file>