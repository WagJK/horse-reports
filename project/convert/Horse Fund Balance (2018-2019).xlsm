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我的云端硬盘\Work\Horse Reports\project\convert\"/>
    </mc:Choice>
  </mc:AlternateContent>
  <xr:revisionPtr revIDLastSave="0" documentId="10_ncr:100000_{4EA4D4E5-37F5-424B-A6D8-D4E624186DD1}" xr6:coauthVersionLast="31" xr6:coauthVersionMax="43" xr10:uidLastSave="{00000000-0000-0000-0000-000000000000}"/>
  <bookViews>
    <workbookView xWindow="0" yWindow="0" windowWidth="28800" windowHeight="1180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90" i="1"/>
  <c r="E89" i="1"/>
  <c r="C89" i="1"/>
  <c r="C90" i="1"/>
  <c r="C88" i="1" l="1"/>
  <c r="E88" i="1"/>
  <c r="E87" i="1" l="1"/>
  <c r="C87" i="1"/>
  <c r="E86" i="1" l="1"/>
  <c r="C86" i="1"/>
  <c r="E85" i="1" l="1"/>
  <c r="C85" i="1"/>
  <c r="E84" i="1" l="1"/>
  <c r="C84" i="1"/>
  <c r="E83" i="1" l="1"/>
  <c r="C83" i="1"/>
  <c r="E82" i="1" l="1"/>
  <c r="C82" i="1"/>
  <c r="E81" i="1" l="1"/>
  <c r="C81" i="1"/>
  <c r="E80" i="1" l="1"/>
  <c r="C80" i="1"/>
  <c r="E79" i="1" l="1"/>
  <c r="C79" i="1"/>
  <c r="C78" i="1" l="1"/>
  <c r="E78" i="1"/>
  <c r="E77" i="1" l="1"/>
  <c r="C77" i="1"/>
  <c r="C76" i="1" l="1"/>
  <c r="E76" i="1"/>
  <c r="E75" i="1" l="1"/>
  <c r="C75" i="1"/>
  <c r="E74" i="1" l="1"/>
  <c r="C74" i="1"/>
  <c r="E73" i="1" l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  <c r="F84" i="1" l="1"/>
  <c r="F85" i="1" l="1"/>
  <c r="F86" i="1" l="1"/>
  <c r="F87" i="1" l="1"/>
  <c r="F88" i="1" l="1"/>
  <c r="F89" i="1" l="1"/>
  <c r="F90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BA4ED34E-F3BA-4383-BB5B-1CB542C751EE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A825B08D-DF0C-42A7-92C4-0875E01FE555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<sst xmlns="http://schemas.openxmlformats.org/spreadsheetml/2006/main" count="100" uniqueCount="42">
  <si>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</si>
  <si>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</si>
  <si>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</si>
  <si>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</si>
  <si>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</si>
  <si>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</si>
  <si>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</si>
  <si>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</si>
  <si>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</si>
  <si>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</si>
  <si>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</si>
  <si>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</si>
  <si>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</si>
  <si>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</si>
  <si>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</si>
  <si>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</si>
  <si>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</si>
  <si>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</si>
  <si>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</si>
  <si>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</si>
  <si>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</si>
  <si>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</si>
  <si>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</si>
  <si>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</si>
  <si>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</si>
  <si>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</si>
  <si>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</si>
  <si>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</si>
  <si>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</si>
  <si>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</si>
  <si>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</si>
  <si>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</si>
  <si>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</si>
  <si>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</si>
  <si>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</si>
  <si>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</si>
  <si>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</si>
  <si>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</si>
  <si>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</si>
  <si>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</si>
  <si>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</si>
  <si>
    <t>1W-2P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</si>
</sst>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Fund!$A$2:$A$90</c:f>
              <c:strCache>
                <c:ptCount val="89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  <c:pt idx="72">
                  <c:v>2019/5/15</c:v>
                </c:pt>
                <c:pt idx="73">
                  <c:v>2019/5/18</c:v>
                </c:pt>
                <c:pt idx="74">
                  <c:v>2019/5/22</c:v>
                </c:pt>
                <c:pt idx="75">
                  <c:v>2019/5/26</c:v>
                </c:pt>
                <c:pt idx="76">
                  <c:v>2019/5/29</c:v>
                </c:pt>
                <c:pt idx="77">
                  <c:v>2019/6/2</c:v>
                </c:pt>
                <c:pt idx="78">
                  <c:v>2019/6/5</c:v>
                </c:pt>
                <c:pt idx="79">
                  <c:v>2019/6/8</c:v>
                </c:pt>
                <c:pt idx="80">
                  <c:v>2019/6/12</c:v>
                </c:pt>
                <c:pt idx="81">
                  <c:v>2019/6/16</c:v>
                </c:pt>
                <c:pt idx="82">
                  <c:v>2019/6/23</c:v>
                </c:pt>
                <c:pt idx="83">
                  <c:v>2019/6/26</c:v>
                </c:pt>
                <c:pt idx="84">
                  <c:v>2019/7/1</c:v>
                </c:pt>
                <c:pt idx="85">
                  <c:v>2019/7/3</c:v>
                </c:pt>
                <c:pt idx="86">
                  <c:v>2019/7/7</c:v>
                </c:pt>
                <c:pt idx="87">
                  <c:v>2019/7/10</c:v>
                </c:pt>
                <c:pt idx="88">
                  <c:v>2019/7/14</c:v>
                </c:pt>
              </c:strCache>
            </c:strRef>
          </c:cat>
          <c:val>
            <c:numRef>
              <c:f>Fund!$F$2:$F$90</c:f>
              <c:numCache>
                <c:formatCode>"HK$"#,##0.00_);[Red]\("HK$"#,##0.00\)</c:formatCode>
                <c:ptCount val="89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  <c:pt idx="72">
                  <c:v>-6121500</c:v>
                </c:pt>
                <c:pt idx="73">
                  <c:v>-7093500</c:v>
                </c:pt>
                <c:pt idx="74">
                  <c:v>-6138500</c:v>
                </c:pt>
                <c:pt idx="75">
                  <c:v>-6624500</c:v>
                </c:pt>
                <c:pt idx="76">
                  <c:v>-5664500</c:v>
                </c:pt>
                <c:pt idx="77">
                  <c:v>-6226500</c:v>
                </c:pt>
                <c:pt idx="78">
                  <c:v>-6712500</c:v>
                </c:pt>
                <c:pt idx="79">
                  <c:v>-7432500</c:v>
                </c:pt>
                <c:pt idx="80">
                  <c:v>-7432500</c:v>
                </c:pt>
                <c:pt idx="81">
                  <c:v>-6292500</c:v>
                </c:pt>
                <c:pt idx="82">
                  <c:v>-5842500</c:v>
                </c:pt>
                <c:pt idx="83">
                  <c:v>-6688500</c:v>
                </c:pt>
                <c:pt idx="84">
                  <c:v>-6488500</c:v>
                </c:pt>
                <c:pt idx="85">
                  <c:v>-6263500</c:v>
                </c:pt>
                <c:pt idx="86">
                  <c:v>-7197250</c:v>
                </c:pt>
                <c:pt idx="87">
                  <c:v>-8043250</c:v>
                </c:pt>
                <c:pt idx="88">
                  <c:v>-7918250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90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90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F89</f>
        <v>-8043250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  <row r="74" spans="1:6">
      <c r="A74" s="6">
        <v>43600</v>
      </c>
      <c r="B74" s="2" t="s">
        <v>41</v>
      </c>
      <c r="C74" s="1">
        <f>3*400000+0*140000</f>
        <v>1200000</v>
      </c>
      <c r="D74" s="1">
        <f>D73 + Table1[[#This Row],[Bet Value]]</f>
        <v>88060000</v>
      </c>
      <c r="E74" s="1">
        <f>785000</f>
        <v>785000</v>
      </c>
      <c r="F74" s="1">
        <f>F73+Table1[[#This Row],[Change]]</f>
        <v>-6121500</v>
      </c>
    </row>
    <row r="75" spans="1:6">
      <c r="A75" s="6">
        <v>43603</v>
      </c>
      <c r="B75" s="2" t="s">
        <v>12</v>
      </c>
      <c r="C75" s="1">
        <f>2*400000+2*140000</f>
        <v>1080000</v>
      </c>
      <c r="D75" s="1">
        <f>D74 + Table1[[#This Row],[Bet Value]]</f>
        <v>89140000</v>
      </c>
      <c r="E75" s="1">
        <f>-1080000+108000</f>
        <v>-972000</v>
      </c>
      <c r="F75" s="1">
        <f>F74+Table1[[#This Row],[Change]]</f>
        <v>-7093500</v>
      </c>
    </row>
    <row r="76" spans="1:6">
      <c r="A76" s="6">
        <v>43607</v>
      </c>
      <c r="B76" s="2" t="s">
        <v>41</v>
      </c>
      <c r="C76" s="1">
        <f>2*400000+0*140000</f>
        <v>800000</v>
      </c>
      <c r="D76" s="1">
        <f>D75 + Table1[[#This Row],[Bet Value]]</f>
        <v>89940000</v>
      </c>
      <c r="E76" s="1">
        <f>955000</f>
        <v>955000</v>
      </c>
      <c r="F76" s="1">
        <f>F75+Table1[[#This Row],[Change]]</f>
        <v>-6138500</v>
      </c>
    </row>
    <row r="77" spans="1:6">
      <c r="A77" s="6">
        <v>43611</v>
      </c>
      <c r="B77" s="2" t="s">
        <v>11</v>
      </c>
      <c r="C77" s="1">
        <f>1*400000+1*140000</f>
        <v>540000</v>
      </c>
      <c r="D77" s="1">
        <f>D76 + Table1[[#This Row],[Bet Value]]</f>
        <v>90480000</v>
      </c>
      <c r="E77" s="1">
        <f>-540000+54000</f>
        <v>-486000</v>
      </c>
      <c r="F77" s="1">
        <f>F76+Table1[[#This Row],[Change]]</f>
        <v>-6624500</v>
      </c>
    </row>
    <row r="78" spans="1:6">
      <c r="A78" s="6">
        <v>43614</v>
      </c>
      <c r="B78" s="2" t="s">
        <v>10</v>
      </c>
      <c r="C78" s="1">
        <f>1*400000+0*140000</f>
        <v>400000</v>
      </c>
      <c r="D78" s="1">
        <f>D77 + Table1[[#This Row],[Bet Value]]</f>
        <v>90880000</v>
      </c>
      <c r="E78" s="1">
        <f>960000</f>
        <v>960000</v>
      </c>
      <c r="F78" s="1">
        <f>F77+Table1[[#This Row],[Change]]</f>
        <v>-5664500</v>
      </c>
    </row>
    <row r="79" spans="1:6">
      <c r="A79" s="6">
        <v>43618</v>
      </c>
      <c r="B79" s="2" t="s">
        <v>14</v>
      </c>
      <c r="C79" s="1">
        <f>2*400000+2*140000</f>
        <v>1080000</v>
      </c>
      <c r="D79" s="1">
        <f>D78 + Table1[[#This Row],[Bet Value]]</f>
        <v>91960000</v>
      </c>
      <c r="E79" s="1">
        <f>-630000+68000</f>
        <v>-562000</v>
      </c>
      <c r="F79" s="1">
        <f>F78+Table1[[#This Row],[Change]]</f>
        <v>-6226500</v>
      </c>
    </row>
    <row r="80" spans="1:6">
      <c r="A80" s="6">
        <v>43621</v>
      </c>
      <c r="B80" s="2" t="s">
        <v>11</v>
      </c>
      <c r="C80" s="1">
        <f>1*400000+1*140000</f>
        <v>540000</v>
      </c>
      <c r="D80" s="1">
        <f>D79 + Table1[[#This Row],[Bet Value]]</f>
        <v>92500000</v>
      </c>
      <c r="E80" s="1">
        <f>-540000+54000</f>
        <v>-486000</v>
      </c>
      <c r="F80" s="1">
        <f>F79+Table1[[#This Row],[Change]]</f>
        <v>-6712500</v>
      </c>
    </row>
    <row r="81" spans="1:6">
      <c r="A81" s="6">
        <v>43624</v>
      </c>
      <c r="B81" s="2" t="s">
        <v>12</v>
      </c>
      <c r="C81" s="1">
        <f>2*400000+0*140000</f>
        <v>800000</v>
      </c>
      <c r="D81" s="1">
        <f>D80 + Table1[[#This Row],[Bet Value]]</f>
        <v>93300000</v>
      </c>
      <c r="E81" s="1">
        <f>-800000+80000</f>
        <v>-720000</v>
      </c>
      <c r="F81" s="1">
        <f>F80+Table1[[#This Row],[Change]]</f>
        <v>-7432500</v>
      </c>
    </row>
    <row r="82" spans="1:6">
      <c r="A82" s="6">
        <v>43628</v>
      </c>
      <c r="B82" s="2" t="s">
        <v>40</v>
      </c>
      <c r="C82" s="1">
        <f>0*400000+0*140000</f>
        <v>0</v>
      </c>
      <c r="D82" s="1">
        <f>D81 + Table1[[#This Row],[Bet Value]]</f>
        <v>93300000</v>
      </c>
      <c r="E82" s="1">
        <f>0+0</f>
        <v>0</v>
      </c>
      <c r="F82" s="1">
        <f>F81+Table1[[#This Row],[Change]]</f>
        <v>-7432500</v>
      </c>
    </row>
    <row r="83" spans="1:6">
      <c r="A83" s="6">
        <v>43632</v>
      </c>
      <c r="B83" s="2" t="s">
        <v>41</v>
      </c>
      <c r="C83" s="1">
        <f>2*400000+0*140000</f>
        <v>800000</v>
      </c>
      <c r="D83" s="1">
        <f>D82 + Table1[[#This Row],[Bet Value]]</f>
        <v>94100000</v>
      </c>
      <c r="E83" s="1">
        <f>1140000+0</f>
        <v>1140000</v>
      </c>
      <c r="F83" s="1">
        <f>F82+Table1[[#This Row],[Change]]</f>
        <v>-6292500</v>
      </c>
    </row>
    <row r="84" spans="1:6">
      <c r="A84" s="6">
        <v>43639</v>
      </c>
      <c r="B84" s="2" t="s">
        <v>10</v>
      </c>
      <c r="C84" s="1">
        <f>1*400000+0*140000</f>
        <v>400000</v>
      </c>
      <c r="D84" s="1">
        <f>D83 + Table1[[#This Row],[Bet Value]]</f>
        <v>94500000</v>
      </c>
      <c r="E84" s="1">
        <f>450000+0</f>
        <v>450000</v>
      </c>
      <c r="F84" s="1">
        <f>F83+Table1[[#This Row],[Change]]</f>
        <v>-5842500</v>
      </c>
    </row>
    <row r="85" spans="1:6">
      <c r="A85" s="6">
        <v>43642</v>
      </c>
      <c r="B85" s="2" t="s">
        <v>12</v>
      </c>
      <c r="C85" s="1">
        <f>2*400000+1*140000</f>
        <v>940000</v>
      </c>
      <c r="D85" s="1">
        <f>D84 + Table1[[#This Row],[Bet Value]]</f>
        <v>95440000</v>
      </c>
      <c r="E85" s="1">
        <f>-940000+94000</f>
        <v>-846000</v>
      </c>
      <c r="F85" s="1">
        <f>F84+Table1[[#This Row],[Change]]</f>
        <v>-6688500</v>
      </c>
    </row>
    <row r="86" spans="1:6">
      <c r="A86" s="6">
        <v>43647</v>
      </c>
      <c r="B86" s="2" t="s">
        <v>10</v>
      </c>
      <c r="C86" s="1">
        <f>1*400000+0*140000</f>
        <v>400000</v>
      </c>
      <c r="D86" s="1">
        <f>D85 + Table1[[#This Row],[Bet Value]]</f>
        <v>95840000</v>
      </c>
      <c r="E86" s="1">
        <f>200000+0</f>
        <v>200000</v>
      </c>
      <c r="F86" s="1">
        <f>F85+Table1[[#This Row],[Change]]</f>
        <v>-6488500</v>
      </c>
    </row>
    <row r="87" spans="1:6">
      <c r="A87" s="6">
        <v>43649</v>
      </c>
      <c r="B87" s="2" t="s">
        <v>21</v>
      </c>
      <c r="C87" s="1">
        <f>2*400000+0*140000</f>
        <v>800000</v>
      </c>
      <c r="D87" s="1">
        <f>D86 + Table1[[#This Row],[Bet Value]]</f>
        <v>96640000</v>
      </c>
      <c r="E87" s="1">
        <f>185000+40000</f>
        <v>225000</v>
      </c>
      <c r="F87" s="1">
        <f>F86+Table1[[#This Row],[Change]]</f>
        <v>-6263500</v>
      </c>
    </row>
    <row r="88" spans="1:6">
      <c r="A88" s="6">
        <v>43653</v>
      </c>
      <c r="B88" s="2" t="s">
        <v>29</v>
      </c>
      <c r="C88" s="1">
        <f>5*400000+2*140000</f>
        <v>2280000</v>
      </c>
      <c r="D88" s="1">
        <f>D87 + Table1[[#This Row],[Bet Value]]</f>
        <v>98920000</v>
      </c>
      <c r="E88" s="1">
        <f>-1107750+174000</f>
        <v>-933750</v>
      </c>
      <c r="F88" s="1">
        <f>F87+Table1[[#This Row],[Change]]</f>
        <v>-7197250</v>
      </c>
    </row>
    <row r="89" spans="1:6">
      <c r="A89" s="6">
        <v>43656</v>
      </c>
      <c r="B89" s="2" t="s">
        <v>12</v>
      </c>
      <c r="C89" s="1">
        <f>2*400000+1*140000</f>
        <v>940000</v>
      </c>
      <c r="D89" s="1">
        <f>D88 + Table1[[#This Row],[Bet Value]]</f>
        <v>99860000</v>
      </c>
      <c r="E89" s="1">
        <f>-940000+94000</f>
        <v>-846000</v>
      </c>
      <c r="F89" s="1">
        <f>F88+Table1[[#This Row],[Change]]</f>
        <v>-8043250</v>
      </c>
    </row>
    <row r="90" spans="1:6">
      <c r="A90" s="6">
        <v>43660</v>
      </c>
      <c r="B90" s="2" t="s">
        <v>39</v>
      </c>
      <c r="C90" s="1">
        <f>1*400000+0*140000</f>
        <v>400000</v>
      </c>
      <c r="D90" s="1">
        <f>D89 + Table1[[#This Row],[Bet Value]]</f>
        <v>100260000</v>
      </c>
      <c r="E90" s="1">
        <f>125000</f>
        <v>125000</v>
      </c>
      <c r="F90" s="1">
        <f>F89+Table1[[#This Row],[Change]]</f>
        <v>-7918250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2019-07-17T12:50:43Z</dcterms:modified>
</cp:coreProperties>
</file>