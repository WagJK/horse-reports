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126" codeName="{B1203076-2D4D-A25B-A398-973B695A806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gJK\Desktop\Work\Horse Reports\project\convert\"/>
    </mc:Choice>
  </mc:AlternateContent>
  <xr:revisionPtr revIDLastSave="0" documentId="10_ncr:100000_{5679C9BE-033F-475E-811F-9E4747407BF3}" xr6:coauthVersionLast="31" xr6:coauthVersionMax="34" xr10:uidLastSave="{00000000-0000-0000-0000-000000000000}"/>
  <bookViews>
    <workbookView xWindow="5025" yWindow="-30" windowWidth="5025" windowHeight="7680" tabRatio="565" xr2:uid="{00000000-000D-0000-FFFF-FFFF00000000}"/>
  </bookViews>
  <sheets>
    <sheet name="Fund" sheetId="1" r:id="rId1"/>
  </sheets>
  <calcPr calcId="179017"/>
</workbook>
</file>

<file path=xl/calcChain.xml><?xml version="1.0" encoding="utf-8"?>
<calcChain xmlns="http://schemas.openxmlformats.org/spreadsheetml/2006/main">
  <c r="I1" i="1" l="1"/>
  <c r="E8" i="1"/>
  <c r="C8" i="1"/>
  <c r="E7" i="1" l="1"/>
  <c r="C7" i="1"/>
  <c r="E6" i="1" l="1"/>
  <c r="C6" i="1"/>
  <c r="E5" i="1" l="1"/>
  <c r="C5" i="1"/>
  <c r="E4" i="1" l="1"/>
  <c r="C4" i="1"/>
  <c r="C3" i="1" l="1"/>
  <c r="E3" i="1" l="1"/>
  <c r="D3" i="1" l="1"/>
  <c r="D4" i="1" s="1"/>
  <c r="D5" i="1" s="1"/>
  <c r="D6" i="1" s="1"/>
  <c r="D7" i="1" s="1"/>
  <c r="D8" i="1" s="1"/>
  <c r="F3" i="1"/>
  <c r="F4" i="1" l="1"/>
  <c r="F5" i="1" l="1"/>
  <c r="F6" i="1" l="1"/>
  <c r="F7" i="1" l="1"/>
  <c r="F8" i="1" l="1"/>
</calcChain>
</file>

<file path=xl/sharedStrings.xml><?xml version="1.0" encoding="utf-8"?>
<sst xmlns="http://schemas.openxmlformats.org/spreadsheetml/2006/main" count="18" uniqueCount="14">
  <si>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</si>
  <si>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</si>
  <si>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</si>
  <si>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</si>
  <si>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</si>
  <si>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</si>
  <si>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</si>
  <si>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</si>
  <si>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1P-1PQ-1L</t>
  </si>
  <si>
    <t>1P-1Queue-1L</t>
  </si>
  <si>
    <t>1W</t>
  </si>
  <si>
    <t>1L</t>
  </si>
  <si>
    <t>2L</t>
  </si>
  <si>
    <t>1W-3L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</si>
</sst>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常规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66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26635039466417965"/>
          <c:y val="0.16986117971977727"/>
          <c:w val="0.69188101487314091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Fund!$A$2:$A$8</c:f>
              <c:strCache>
                <c:ptCount val="7"/>
                <c:pt idx="0">
                  <c:v>-</c:v>
                </c:pt>
                <c:pt idx="1">
                  <c:v>2018/9/2</c:v>
                </c:pt>
                <c:pt idx="2">
                  <c:v>2018/9/5</c:v>
                </c:pt>
                <c:pt idx="3">
                  <c:v>2018/9/9</c:v>
                </c:pt>
                <c:pt idx="4">
                  <c:v>2018/9/12</c:v>
                </c:pt>
                <c:pt idx="5">
                  <c:v>2018/9/22</c:v>
                </c:pt>
                <c:pt idx="6">
                  <c:v>2018/9/26</c:v>
                </c:pt>
              </c:strCache>
            </c:strRef>
          </c:cat>
          <c:val>
            <c:numRef>
              <c:f>Fund!$F$2:$F$8</c:f>
              <c:numCache>
                <c:formatCode>General</c:formatCode>
                <c:ptCount val="7"/>
                <c:pt idx="0">
                  <c:v>0</c:v>
                </c:pt>
                <c:pt idx="1">
                  <c:v>1314000</c:v>
                </c:pt>
                <c:pt idx="2">
                  <c:v>2470750</c:v>
                </c:pt>
                <c:pt idx="3">
                  <c:v>2965750</c:v>
                </c:pt>
                <c:pt idx="4">
                  <c:v>2479750</c:v>
                </c:pt>
                <c:pt idx="5">
                  <c:v>1507750</c:v>
                </c:pt>
                <c:pt idx="6">
                  <c:v>1496750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5000000"/>
          <c:min val="-500000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314322</xdr:colOff>
      <xdr:row>2</xdr:row>
      <xdr:rowOff>157267</xdr:rowOff>
    </xdr:from>
    <xdr:to>
      <xdr:col>11</xdr:col>
      <xdr:colOff>142874</xdr:colOff>
      <xdr:row>25</xdr:row>
      <xdr:rowOff>19050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8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8"/>
  <sheetViews>
    <sheetView tabSelected="1" zoomScaleNormal="100" workbookViewId="0"/>
  </sheetViews>
  <sheetFormatPr defaultRowHeight="15"/>
  <cols>
    <col min="1" max="1" width="12.7109375" style="10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6" width="19.140625" customWidth="1"/>
    <col min="7" max="7" width="19.140625" style="3" customWidth="1"/>
    <col min="8" max="8" width="17.140625" customWidth="1"/>
    <col min="9" max="9" width="22.7109375" customWidth="1"/>
  </cols>
  <sheetData>
    <row r="1" spans="1:9">
      <c r="A1" s="11" t="s">
        <v>0</v>
      </c>
      <c r="B1" s="8" t="s">
        <v>1</v>
      </c>
      <c r="C1" s="8" t="s">
        <v>6</v>
      </c>
      <c r="D1" s="8" t="s">
        <v>7</v>
      </c>
      <c r="E1" s="8" t="s">
        <v>2</v>
      </c>
      <c r="F1" s="8" t="s">
        <v>3</v>
      </c>
      <c r="G1" s="4"/>
      <c r="H1" s="6" t="s">
        <v>5</v>
      </c>
      <c r="I1" s="7">
        <f>F8</f>
        <v>1496750</v>
      </c>
    </row>
    <row r="2" spans="1:9">
      <c r="A2" s="9" t="s">
        <v>4</v>
      </c>
      <c r="B2" s="5" t="s">
        <v>4</v>
      </c>
      <c r="C2" s="4" t="s">
        <v>4</v>
      </c>
      <c r="D2" s="4" t="s">
        <v>4</v>
      </c>
      <c r="E2" s="4" t="s">
        <v>4</v>
      </c>
      <c r="F2" s="4">
        <v>0</v>
      </c>
      <c r="G2" s="4"/>
      <c r="H2" s="3"/>
      <c r="I2" s="4"/>
    </row>
    <row r="3" spans="1:9">
      <c r="A3" s="9">
        <v>43345</v>
      </c>
      <c r="B3" s="5" t="s">
        <v>8</v>
      </c>
      <c r="C3" s="4">
        <f>2*400000+1*140000</f>
        <v>940000</v>
      </c>
      <c r="D3" s="4">
        <f>Table1[[#This Row],[Bet Value]]</f>
        <v>940000</v>
      </c>
      <c r="E3" s="4">
        <f>1274000+40000</f>
        <v>1314000</v>
      </c>
      <c r="F3" s="4">
        <f>F2+Table1[[#This Row],[Change]]</f>
        <v>1314000</v>
      </c>
      <c r="G3" s="4"/>
    </row>
    <row r="4" spans="1:9">
      <c r="A4" s="9">
        <v>43348</v>
      </c>
      <c r="B4" s="5" t="s">
        <v>9</v>
      </c>
      <c r="C4" s="4">
        <f>2*400000+2*140000</f>
        <v>1080000</v>
      </c>
      <c r="D4" s="4">
        <f>D3 + Table1[[#This Row],[Bet Value]]</f>
        <v>2020000</v>
      </c>
      <c r="E4" s="4">
        <f>1102750+54000</f>
        <v>1156750</v>
      </c>
      <c r="F4" s="4">
        <f>F3+Table1[[#This Row],[Change]]</f>
        <v>2470750</v>
      </c>
    </row>
    <row r="5" spans="1:9">
      <c r="A5" s="9">
        <v>43352</v>
      </c>
      <c r="B5" s="5" t="s">
        <v>10</v>
      </c>
      <c r="C5" s="4">
        <f>1*400000</f>
        <v>400000</v>
      </c>
      <c r="D5" s="4">
        <f>D4 + Table1[[#This Row],[Bet Value]]</f>
        <v>2420000</v>
      </c>
      <c r="E5" s="4">
        <f>495000+0</f>
        <v>495000</v>
      </c>
      <c r="F5" s="4">
        <f>F4+Table1[[#This Row],[Change]]</f>
        <v>2965750</v>
      </c>
    </row>
    <row r="6" spans="1:9">
      <c r="A6" s="9">
        <v>43355</v>
      </c>
      <c r="B6" s="5" t="s">
        <v>11</v>
      </c>
      <c r="C6" s="4">
        <f>1*400000 + 1*140000</f>
        <v>540000</v>
      </c>
      <c r="D6" s="4">
        <f>D5 + Table1[[#This Row],[Bet Value]]</f>
        <v>2960000</v>
      </c>
      <c r="E6" s="4">
        <f>-540000+54000</f>
        <v>-486000</v>
      </c>
      <c r="F6" s="4">
        <f>F5+Table1[[#This Row],[Change]]</f>
        <v>2479750</v>
      </c>
    </row>
    <row r="7" spans="1:9">
      <c r="A7" s="9">
        <v>43365</v>
      </c>
      <c r="B7" s="5" t="s">
        <v>12</v>
      </c>
      <c r="C7" s="4">
        <f>2*400000 + 2*140000</f>
        <v>1080000</v>
      </c>
      <c r="D7" s="4">
        <f>D6 + Table1[[#This Row],[Bet Value]]</f>
        <v>4040000</v>
      </c>
      <c r="E7" s="4">
        <f>-1080000+108000</f>
        <v>-972000</v>
      </c>
      <c r="F7" s="4">
        <f>F6+Table1[[#This Row],[Change]]</f>
        <v>1507750</v>
      </c>
    </row>
    <row r="8" spans="1:9">
      <c r="A8" s="9">
        <v>43369</v>
      </c>
      <c r="B8" s="5" t="s">
        <v>13</v>
      </c>
      <c r="C8" s="4">
        <f>4*400000 + 1*140000</f>
        <v>1740000</v>
      </c>
      <c r="D8" s="4">
        <f>D7 + Table1[[#This Row],[Bet Value]]</f>
        <v>5780000</v>
      </c>
      <c r="E8" s="4">
        <f>-145000+134000</f>
        <v>-11000</v>
      </c>
      <c r="F8" s="4">
        <f>F7+Table1[[#This Row],[Change]]</f>
        <v>1496750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WagJK</cp:lastModifiedBy>
  <cp:lastPrinted>2014-11-23T14:52:39Z</cp:lastPrinted>
  <dcterms:created xsi:type="dcterms:W3CDTF">2012-09-27T01:49:39Z</dcterms:created>
  <dcterms:modified xsi:type="dcterms:W3CDTF">2018-09-26T15:21:27Z</dcterms:modified>
</cp:coreProperties>
</file>