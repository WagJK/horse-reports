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BC49CE78-5E7D-4D89-BAEE-3E79604D4B4D}" xr6:coauthVersionLast="31" xr6:coauthVersionMax="40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C39" i="1"/>
  <c r="E39" i="1"/>
  <c r="E38" i="1" l="1"/>
  <c r="C38" i="1"/>
  <c r="E37" i="1" l="1"/>
  <c r="C37" i="1"/>
  <c r="E36" i="1" l="1"/>
  <c r="C36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</calcChain>
</file>

<file path=xl/sharedStrings.xml><?xml version="1.0" encoding="utf-8"?>
<sst xmlns="http://schemas.openxmlformats.org/spreadsheetml/2006/main" count="49" uniqueCount="25">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</sst>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Fund!$A$2:$A$39</c:f>
              <c:strCache>
                <c:ptCount val="38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</c:strCache>
            </c:strRef>
          </c:cat>
          <c:val>
            <c:numRef>
              <c:f>Fund!$F$2:$F$39</c:f>
              <c:numCache>
                <c:formatCode>General</c:formatCode>
                <c:ptCount val="38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15</xdr:col>
      <xdr:colOff>400050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9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9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F39</f>
        <v>1029250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  <row r="35" spans="1:6">
      <c r="A35" s="9">
        <v>43463</v>
      </c>
      <c r="B35" s="5" t="s">
        <v>22</v>
      </c>
      <c r="C35" s="4">
        <f>3*400000+2*140000</f>
        <v>1480000</v>
      </c>
      <c r="D35" s="4">
        <f>D34 + Table1[[#This Row],[Bet Value]]</f>
        <v>30600000</v>
      </c>
      <c r="E35" s="4">
        <f>6506000+14000</f>
        <v>6520000</v>
      </c>
      <c r="F35" s="4">
        <f>F34+Table1[[#This Row],[Change]]</f>
        <v>2389000</v>
      </c>
    </row>
    <row r="36" spans="1:6">
      <c r="A36" s="9">
        <v>43466</v>
      </c>
      <c r="B36" s="5" t="s">
        <v>15</v>
      </c>
      <c r="C36" s="4">
        <f>3*400000+1*140000</f>
        <v>1340000</v>
      </c>
      <c r="D36" s="4">
        <f>D35 + Table1[[#This Row],[Bet Value]]</f>
        <v>31940000</v>
      </c>
      <c r="E36" s="4">
        <f>0+54000</f>
        <v>54000</v>
      </c>
      <c r="F36" s="4">
        <f>F35+Table1[[#This Row],[Change]]</f>
        <v>2443000</v>
      </c>
    </row>
    <row r="37" spans="1:6">
      <c r="A37" s="9">
        <v>43471</v>
      </c>
      <c r="B37" s="5" t="s">
        <v>23</v>
      </c>
      <c r="C37" s="4">
        <f>5*400000+2*140000</f>
        <v>2280000</v>
      </c>
      <c r="D37" s="4">
        <f>D36 + Table1[[#This Row],[Bet Value]]</f>
        <v>34220000</v>
      </c>
      <c r="E37" s="4">
        <f>436250+94000</f>
        <v>530250</v>
      </c>
      <c r="F37" s="4">
        <f>F36+Table1[[#This Row],[Change]]</f>
        <v>2973250</v>
      </c>
    </row>
    <row r="38" spans="1:6">
      <c r="A38" s="9">
        <v>43474</v>
      </c>
      <c r="B38" s="5" t="s">
        <v>24</v>
      </c>
      <c r="C38" s="4">
        <f>2*400000+2*140000</f>
        <v>1080000</v>
      </c>
      <c r="D38" s="4">
        <f>D37 + Table1[[#This Row],[Bet Value]]</f>
        <v>35300000</v>
      </c>
      <c r="E38" s="4">
        <f>-1080000+108000</f>
        <v>-972000</v>
      </c>
      <c r="F38" s="4">
        <f>F37+Table1[[#This Row],[Change]]</f>
        <v>2001250</v>
      </c>
    </row>
    <row r="39" spans="1:6">
      <c r="A39" s="9">
        <v>43477</v>
      </c>
      <c r="B39" s="5" t="s">
        <v>24</v>
      </c>
      <c r="C39" s="4">
        <f>2*400000+2*140000</f>
        <v>1080000</v>
      </c>
      <c r="D39" s="4">
        <f>D38 + Table1[[#This Row],[Bet Value]]</f>
        <v>36380000</v>
      </c>
      <c r="E39" s="4">
        <f>-1080000+108000</f>
        <v>-972000</v>
      </c>
      <c r="F39" s="4">
        <f>F38+Table1[[#This Row],[Change]]</f>
        <v>1029250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2019-01-13T13:26:06Z</dcterms:modified>
</cp:coreProperties>
</file>