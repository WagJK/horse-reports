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27F3DD55-B71F-4206-9103-A209583F1448}" xr6:coauthVersionLast="40" xr6:coauthVersionMax="40" xr10:uidLastSave="{00000000-0000-0000-0000-000000000000}"/>
  <bookViews>
    <workbookView xWindow="-108" yWindow="-108" windowWidth="23256" windowHeight="12576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47" i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DD429D3-31FA-43BC-AC9A-54DBBB12A2B2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<sst xmlns="http://schemas.openxmlformats.org/spreadsheetml/2006/main" count="57" uniqueCount="30">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</sst>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Fund!$A$2:$A$47</c:f>
              <c:strCache>
                <c:ptCount val="4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</c:strCache>
            </c:strRef>
          </c:cat>
          <c:val>
            <c:numRef>
              <c:f>Fund!$F$2:$F$47</c:f>
              <c:numCache>
                <c:formatCode>"HK$"#,##0.00_);[Red]\("HK$"#,##0.00\)</c:formatCode>
                <c:ptCount val="4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7"/>
  <sheetViews>
    <sheetView tabSelected="1" zoomScaleNormal="100" workbookViewId="0"/>
  </sheetViews>
  <sheetFormatPr defaultRowHeight="14.4"/>
  <cols>
    <col min="1" max="1" width="12.6640625" style="10" customWidth="1"/>
    <col min="2" max="2" width="22.33203125" style="2" customWidth="1"/>
    <col min="3" max="3" width="18.44140625" style="1" customWidth="1"/>
    <col min="4" max="4" width="18" style="1" customWidth="1"/>
    <col min="5" max="5" width="17.44140625" customWidth="1"/>
    <col min="6" max="6" width="19.109375" customWidth="1"/>
    <col min="7" max="7" width="19.109375" style="3" customWidth="1"/>
    <col min="8" max="8" width="17.109375" customWidth="1"/>
    <col min="9" max="9" width="22.664062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F47</f>
        <v>-670000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  <row r="46" spans="1:6">
      <c r="A46" s="9">
        <v>43503</v>
      </c>
      <c r="B46" s="5" t="s">
        <v>28</v>
      </c>
      <c r="C46" s="4">
        <f>8*400000+3*140000</f>
        <v>3620000</v>
      </c>
      <c r="D46" s="4">
        <f>D45 + Table1[[#This Row],[Bet Value]]</f>
        <v>49020000</v>
      </c>
      <c r="E46" s="4">
        <f>-1145000+202000</f>
        <v>-943000</v>
      </c>
      <c r="F46" s="4">
        <f>F45+Table1[[#This Row],[Change]]</f>
        <v>789500</v>
      </c>
    </row>
    <row r="47" spans="1:6">
      <c r="A47" s="9">
        <v>43506</v>
      </c>
      <c r="B47" s="5" t="s">
        <v>29</v>
      </c>
      <c r="C47" s="4">
        <f>5*400000+5*140000</f>
        <v>2700000</v>
      </c>
      <c r="D47" s="4">
        <f>D46 + Table1[[#This Row],[Bet Value]]</f>
        <v>51720000</v>
      </c>
      <c r="E47" s="4">
        <f>-1675500+216000</f>
        <v>-1459500</v>
      </c>
      <c r="F47" s="4">
        <f>F46+Table1[[#This Row],[Change]]</f>
        <v>-670000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2019-02-10T12:55:55Z</dcterms:modified>
</cp:coreProperties>
</file>