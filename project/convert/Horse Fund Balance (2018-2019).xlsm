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0574E9C3-449C-4D57-8A66-13CF791C57C7}" xr6:coauthVersionLast="31" xr6:coauthVersionMax="34" xr10:uidLastSave="{00000000-0000-0000-0000-000000000000}"/>
  <bookViews>
    <workbookView xWindow="5025" yWindow="-30" windowWidth="5025" windowHeight="7680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23" i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F3" i="1"/>
  <c r="F4" i="1" l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</calcChain>
</file>

<file path=xl/sharedStrings.xml><?xml version="1.0" encoding="utf-8"?>
<sst xmlns="http://schemas.openxmlformats.org/spreadsheetml/2006/main" count="33" uniqueCount="19">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</sst>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Fund!$A$2:$A$23</c:f>
              <c:strCache>
                <c:ptCount val="22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</c:strCache>
            </c:strRef>
          </c:cat>
          <c:val>
            <c:numRef>
              <c:f>Fund!$F$2:$F$23</c:f>
              <c:numCache>
                <c:formatCode>General</c:formatCode>
                <c:ptCount val="22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257173</xdr:colOff>
      <xdr:row>2</xdr:row>
      <xdr:rowOff>166792</xdr:rowOff>
    </xdr:from>
    <xdr:to>
      <xdr:col>10</xdr:col>
      <xdr:colOff>161926</xdr:colOff>
      <xdr:row>25</xdr:row>
      <xdr:rowOff>28575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23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3"/>
  <sheetViews>
    <sheetView tabSelected="1" zoomScaleNormal="100" workbookViewId="0"/>
  </sheetViews>
  <sheetFormatPr defaultRowHeight="15"/>
  <cols>
    <col min="1" max="1" width="12.7109375" style="10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11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F23</f>
        <v>-1189250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  <row r="4" spans="1:9">
      <c r="A4" s="9">
        <v>43348</v>
      </c>
      <c r="B4" s="5" t="s">
        <v>9</v>
      </c>
      <c r="C4" s="4">
        <f>2*400000+2*140000</f>
        <v>1080000</v>
      </c>
      <c r="D4" s="4">
        <f>D3 + Table1[[#This Row],[Bet Value]]</f>
        <v>2020000</v>
      </c>
      <c r="E4" s="4">
        <f>1102750+54000</f>
        <v>1156750</v>
      </c>
      <c r="F4" s="4">
        <f>F3+Table1[[#This Row],[Change]]</f>
        <v>2470750</v>
      </c>
    </row>
    <row r="5" spans="1:9">
      <c r="A5" s="9">
        <v>43352</v>
      </c>
      <c r="B5" s="5" t="s">
        <v>10</v>
      </c>
      <c r="C5" s="4">
        <f>1*400000</f>
        <v>400000</v>
      </c>
      <c r="D5" s="4">
        <f>D4 + Table1[[#This Row],[Bet Value]]</f>
        <v>2420000</v>
      </c>
      <c r="E5" s="4">
        <f>495000+0</f>
        <v>495000</v>
      </c>
      <c r="F5" s="4">
        <f>F4+Table1[[#This Row],[Change]]</f>
        <v>2965750</v>
      </c>
    </row>
    <row r="6" spans="1:9">
      <c r="A6" s="9">
        <v>43355</v>
      </c>
      <c r="B6" s="5" t="s">
        <v>11</v>
      </c>
      <c r="C6" s="4">
        <f>1*400000 + 1*140000</f>
        <v>540000</v>
      </c>
      <c r="D6" s="4">
        <f>D5 + Table1[[#This Row],[Bet Value]]</f>
        <v>2960000</v>
      </c>
      <c r="E6" s="4">
        <f>-540000+54000</f>
        <v>-486000</v>
      </c>
      <c r="F6" s="4">
        <f>F5+Table1[[#This Row],[Change]]</f>
        <v>2479750</v>
      </c>
    </row>
    <row r="7" spans="1:9">
      <c r="A7" s="9">
        <v>43365</v>
      </c>
      <c r="B7" s="5" t="s">
        <v>12</v>
      </c>
      <c r="C7" s="4">
        <f>2*400000 + 2*140000</f>
        <v>1080000</v>
      </c>
      <c r="D7" s="4">
        <f>D6 + Table1[[#This Row],[Bet Value]]</f>
        <v>4040000</v>
      </c>
      <c r="E7" s="4">
        <f>-1080000+108000</f>
        <v>-972000</v>
      </c>
      <c r="F7" s="4">
        <f>F6+Table1[[#This Row],[Change]]</f>
        <v>1507750</v>
      </c>
    </row>
    <row r="8" spans="1:9">
      <c r="A8" s="9">
        <v>43369</v>
      </c>
      <c r="B8" s="5" t="s">
        <v>13</v>
      </c>
      <c r="C8" s="4">
        <f>4*400000 + 1*140000</f>
        <v>1740000</v>
      </c>
      <c r="D8" s="4">
        <f>D7 + Table1[[#This Row],[Bet Value]]</f>
        <v>5780000</v>
      </c>
      <c r="E8" s="4">
        <f>-145000+134000</f>
        <v>-11000</v>
      </c>
      <c r="F8" s="4">
        <f>F7+Table1[[#This Row],[Change]]</f>
        <v>1496750</v>
      </c>
    </row>
    <row r="9" spans="1:9">
      <c r="A9" s="9">
        <v>43374</v>
      </c>
      <c r="B9" s="5" t="s">
        <v>12</v>
      </c>
      <c r="C9" s="4">
        <f>2*400000</f>
        <v>800000</v>
      </c>
      <c r="D9" s="4">
        <f>D8 + Table1[[#This Row],[Bet Value]]</f>
        <v>6580000</v>
      </c>
      <c r="E9" s="4">
        <f>-800000+80000</f>
        <v>-720000</v>
      </c>
      <c r="F9" s="4">
        <f>F8+Table1[[#This Row],[Change]]</f>
        <v>776750</v>
      </c>
    </row>
    <row r="10" spans="1:9">
      <c r="A10" s="9">
        <v>43376</v>
      </c>
      <c r="B10" s="5" t="s">
        <v>11</v>
      </c>
      <c r="C10" s="4">
        <f>1*400000+2*140000</f>
        <v>680000</v>
      </c>
      <c r="D10" s="4">
        <f>D9 + Table1[[#This Row],[Bet Value]]</f>
        <v>7260000</v>
      </c>
      <c r="E10" s="4">
        <f>-680000+68000</f>
        <v>-612000</v>
      </c>
      <c r="F10" s="4">
        <f>F9+Table1[[#This Row],[Change]]</f>
        <v>164750</v>
      </c>
    </row>
    <row r="11" spans="1:9">
      <c r="A11" s="9">
        <v>43380</v>
      </c>
      <c r="B11" s="5" t="s">
        <v>14</v>
      </c>
      <c r="C11" s="4">
        <f>2*400000+1*140000</f>
        <v>940000</v>
      </c>
      <c r="D11" s="4">
        <f>D10 + Table1[[#This Row],[Bet Value]]</f>
        <v>8200000</v>
      </c>
      <c r="E11" s="4">
        <f>-340000+54000</f>
        <v>-286000</v>
      </c>
      <c r="F11" s="4">
        <f>F10+Table1[[#This Row],[Change]]</f>
        <v>-121250</v>
      </c>
    </row>
    <row r="12" spans="1:9">
      <c r="A12" s="9">
        <v>43383</v>
      </c>
      <c r="B12" s="5" t="s">
        <v>15</v>
      </c>
      <c r="C12" s="4">
        <f>3*400000+0*140000</f>
        <v>1200000</v>
      </c>
      <c r="D12" s="4">
        <f>D11 + Table1[[#This Row],[Bet Value]]</f>
        <v>9400000</v>
      </c>
      <c r="E12" s="4">
        <f>350000+40000</f>
        <v>390000</v>
      </c>
      <c r="F12" s="4">
        <f>F11+Table1[[#This Row],[Change]]</f>
        <v>268750</v>
      </c>
    </row>
    <row r="13" spans="1:9">
      <c r="A13" s="9">
        <v>43386</v>
      </c>
      <c r="B13" s="5" t="s">
        <v>12</v>
      </c>
      <c r="C13" s="4">
        <f>2*400000+2*140000</f>
        <v>1080000</v>
      </c>
      <c r="D13" s="4">
        <f>D12 + Table1[[#This Row],[Bet Value]]</f>
        <v>10480000</v>
      </c>
      <c r="E13" s="4">
        <f>-1080000+108000</f>
        <v>-972000</v>
      </c>
      <c r="F13" s="4">
        <f>F12+Table1[[#This Row],[Change]]</f>
        <v>-703250</v>
      </c>
    </row>
    <row r="14" spans="1:9">
      <c r="A14" s="9">
        <v>43391</v>
      </c>
      <c r="B14" s="5" t="s">
        <v>16</v>
      </c>
      <c r="C14" s="4">
        <f>3*400000+0*140000</f>
        <v>1200000</v>
      </c>
      <c r="D14" s="4">
        <f>D13 + Table1[[#This Row],[Bet Value]]</f>
        <v>11680000</v>
      </c>
      <c r="E14" s="4">
        <f>-360000+80000</f>
        <v>-280000</v>
      </c>
      <c r="F14" s="4">
        <f>F13+Table1[[#This Row],[Change]]</f>
        <v>-983250</v>
      </c>
    </row>
    <row r="15" spans="1:9">
      <c r="A15" s="9">
        <v>43394</v>
      </c>
      <c r="B15" s="5" t="s">
        <v>11</v>
      </c>
      <c r="C15" s="4">
        <f>1*400000+1*140000</f>
        <v>540000</v>
      </c>
      <c r="D15" s="4">
        <f>D14 + Table1[[#This Row],[Bet Value]]</f>
        <v>12220000</v>
      </c>
      <c r="E15" s="4">
        <f>-540000+54000</f>
        <v>-486000</v>
      </c>
      <c r="F15" s="4">
        <f>F14+Table1[[#This Row],[Change]]</f>
        <v>-1469250</v>
      </c>
    </row>
    <row r="16" spans="1:9">
      <c r="A16" s="9">
        <v>43397</v>
      </c>
      <c r="B16" s="5" t="s">
        <v>14</v>
      </c>
      <c r="C16" s="4">
        <f>2*400000+0*140000</f>
        <v>800000</v>
      </c>
      <c r="D16" s="4">
        <f>D15 + Table1[[#This Row],[Bet Value]]</f>
        <v>13020000</v>
      </c>
      <c r="E16" s="4">
        <f>-275000+40000</f>
        <v>-235000</v>
      </c>
      <c r="F16" s="4">
        <f>F15+Table1[[#This Row],[Change]]</f>
        <v>-1704250</v>
      </c>
    </row>
    <row r="17" spans="1:6">
      <c r="A17" s="9">
        <v>43401</v>
      </c>
      <c r="B17" s="5" t="s">
        <v>10</v>
      </c>
      <c r="C17" s="4">
        <f>1*400000+0*140000</f>
        <v>400000</v>
      </c>
      <c r="D17" s="4">
        <f>D16 + Table1[[#This Row],[Bet Value]]</f>
        <v>13420000</v>
      </c>
      <c r="E17" s="4">
        <f>645000+0</f>
        <v>645000</v>
      </c>
      <c r="F17" s="4">
        <f>F16+Table1[[#This Row],[Change]]</f>
        <v>-1059250</v>
      </c>
    </row>
    <row r="18" spans="1:6">
      <c r="A18" s="9">
        <v>43404</v>
      </c>
      <c r="B18" s="5" t="s">
        <v>17</v>
      </c>
      <c r="C18" s="4">
        <f>2*400000+2*140000</f>
        <v>1080000</v>
      </c>
      <c r="D18" s="4">
        <f>D17 + Table1[[#This Row],[Bet Value]]</f>
        <v>14500000</v>
      </c>
      <c r="E18" s="4">
        <f>1320000+28000</f>
        <v>1348000</v>
      </c>
      <c r="F18" s="4">
        <f>F17+Table1[[#This Row],[Change]]</f>
        <v>288750</v>
      </c>
    </row>
    <row r="19" spans="1:6">
      <c r="A19" s="9">
        <v>43408</v>
      </c>
      <c r="B19" s="5" t="s">
        <v>14</v>
      </c>
      <c r="C19" s="4">
        <f>2*400000+1*140000</f>
        <v>940000</v>
      </c>
      <c r="D19" s="4">
        <f>D18 + Table1[[#This Row],[Bet Value]]</f>
        <v>15440000</v>
      </c>
      <c r="E19" s="4">
        <f>-55000+54000</f>
        <v>-1000</v>
      </c>
      <c r="F19" s="4">
        <f>F18+Table1[[#This Row],[Change]]</f>
        <v>287750</v>
      </c>
    </row>
    <row r="20" spans="1:6">
      <c r="A20" s="9">
        <v>43411</v>
      </c>
      <c r="B20" s="5" t="s">
        <v>12</v>
      </c>
      <c r="C20" s="4">
        <f>2*400000+0*140000</f>
        <v>800000</v>
      </c>
      <c r="D20" s="4">
        <f>D19 + Table1[[#This Row],[Bet Value]]</f>
        <v>16240000</v>
      </c>
      <c r="E20" s="4">
        <f>-800000+80000</f>
        <v>-720000</v>
      </c>
      <c r="F20" s="4">
        <f>F19+Table1[[#This Row],[Change]]</f>
        <v>-432250</v>
      </c>
    </row>
    <row r="21" spans="1:6">
      <c r="A21" s="9">
        <v>43414</v>
      </c>
      <c r="B21" s="5" t="s">
        <v>18</v>
      </c>
      <c r="C21" s="4">
        <f>3*400000+2*140000</f>
        <v>1480000</v>
      </c>
      <c r="D21" s="4">
        <f>D20 + Table1[[#This Row],[Bet Value]]</f>
        <v>17720000</v>
      </c>
      <c r="E21" s="4">
        <f>-640000+108000</f>
        <v>-532000</v>
      </c>
      <c r="F21" s="4">
        <f>F20+Table1[[#This Row],[Change]]</f>
        <v>-964250</v>
      </c>
    </row>
    <row r="22" spans="1:6">
      <c r="A22" s="9">
        <v>43418</v>
      </c>
      <c r="B22" s="5" t="s">
        <v>12</v>
      </c>
      <c r="C22" s="4">
        <f>2*400000+0*140000</f>
        <v>800000</v>
      </c>
      <c r="D22" s="4">
        <f>D21 + Table1[[#This Row],[Bet Value]]</f>
        <v>18520000</v>
      </c>
      <c r="E22" s="4">
        <f>-800000+80000</f>
        <v>-720000</v>
      </c>
      <c r="F22" s="4">
        <f>F21+Table1[[#This Row],[Change]]</f>
        <v>-1684250</v>
      </c>
    </row>
    <row r="23" spans="1:6">
      <c r="A23" s="9">
        <v>43422</v>
      </c>
      <c r="B23" s="5" t="s">
        <v>10</v>
      </c>
      <c r="C23" s="4">
        <f>1*400000+0*140000</f>
        <v>400000</v>
      </c>
      <c r="D23" s="4">
        <f>D22 + Table1[[#This Row],[Bet Value]]</f>
        <v>18920000</v>
      </c>
      <c r="E23" s="4">
        <f>495000+0</f>
        <v>495000</v>
      </c>
      <c r="F23" s="4">
        <f>F22+Table1[[#This Row],[Change]]</f>
        <v>-1189250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2018-11-19T09:43:43Z</dcterms:modified>
</cp:coreProperties>
</file>