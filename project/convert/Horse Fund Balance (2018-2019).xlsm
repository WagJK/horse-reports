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FAA5FC59-3CF0-42AF-8406-6ABB96F5BA10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C76" i="1" l="1"/>
  <c r="I1" i="1"/>
  <c r="E76" i="1"/>
  <c r="E75" i="1" l="1"/>
  <c r="C75" i="1"/>
  <c r="E74" i="1" l="1"/>
  <c r="C74" i="1"/>
  <c r="E73" i="1" l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<sst xmlns="http://schemas.openxmlformats.org/spreadsheetml/2006/main" count="86" uniqueCount="42">
  <si>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</si>
  <si>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</si>
  <si>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</si>
  <si>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</si>
  <si>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</si>
  <si>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</si>
  <si>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</si>
  <si>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</si>
  <si>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</si>
  <si>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</si>
  <si>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</si>
  <si>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</si>
  <si>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</si>
  <si>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</si>
  <si>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</si>
  <si>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</si>
  <si>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</si>
  <si>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</si>
  <si>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</si>
  <si>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</si>
  <si>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</si>
  <si>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</si>
  <si>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</si>
  <si>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</si>
  <si>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</si>
  <si>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</si>
  <si>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</si>
  <si>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</si>
  <si>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</si>
  <si>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</si>
  <si>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</si>
  <si>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</si>
  <si>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</si>
  <si>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</si>
  <si>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</si>
  <si>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</si>
  <si>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</si>
  <si>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</si>
  <si>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</si>
  <si>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</si>
  <si>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</si>
  <si>
    <t>1W-2P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</si>
</sst>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Fund!$A$2:$A$76</c:f>
              <c:strCache>
                <c:ptCount val="75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  <c:pt idx="72">
                  <c:v>2019/5/15</c:v>
                </c:pt>
                <c:pt idx="73">
                  <c:v>2019/5/18</c:v>
                </c:pt>
                <c:pt idx="74">
                  <c:v>2019/5/22</c:v>
                </c:pt>
              </c:strCache>
            </c:strRef>
          </c:cat>
          <c:val>
            <c:numRef>
              <c:f>Fund!$F$2:$F$76</c:f>
              <c:numCache>
                <c:formatCode>General</c:formatCode>
                <c:ptCount val="75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  <c:pt idx="72">
                  <c:v>-6121500</c:v>
                </c:pt>
                <c:pt idx="73">
                  <c:v>-7093500</c:v>
                </c:pt>
                <c:pt idx="74">
                  <c:v>-6138500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6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F76</f>
        <v>-6138500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  <row r="74" spans="1:6">
      <c r="A74" s="6">
        <v>43600</v>
      </c>
      <c r="B74" s="2" t="s">
        <v>41</v>
      </c>
      <c r="C74" s="1">
        <f>3*400000+0*140000</f>
        <v>1200000</v>
      </c>
      <c r="D74" s="1">
        <f>D73 + Table1[[#This Row],[Bet Value]]</f>
        <v>88060000</v>
      </c>
      <c r="E74" s="1">
        <f>785000</f>
        <v>785000</v>
      </c>
      <c r="F74" s="1">
        <f>F73+Table1[[#This Row],[Change]]</f>
        <v>-6121500</v>
      </c>
    </row>
    <row r="75" spans="1:6">
      <c r="A75" s="6">
        <v>43603</v>
      </c>
      <c r="B75" s="2" t="s">
        <v>12</v>
      </c>
      <c r="C75" s="1">
        <f>2*400000+2*140000</f>
        <v>1080000</v>
      </c>
      <c r="D75" s="1">
        <f>D74 + Table1[[#This Row],[Bet Value]]</f>
        <v>89140000</v>
      </c>
      <c r="E75" s="1">
        <f>-1080000+108000</f>
        <v>-972000</v>
      </c>
      <c r="F75" s="1">
        <f>F74+Table1[[#This Row],[Change]]</f>
        <v>-7093500</v>
      </c>
    </row>
    <row r="76" spans="1:6">
      <c r="A76" s="6">
        <v>43607</v>
      </c>
      <c r="B76" s="2" t="s">
        <v>41</v>
      </c>
      <c r="C76" s="1">
        <f>2*400000+0*140000</f>
        <v>800000</v>
      </c>
      <c r="D76" s="1">
        <f>D75 + Table1[[#This Row],[Bet Value]]</f>
        <v>89940000</v>
      </c>
      <c r="E76" s="1">
        <f>955000</f>
        <v>955000</v>
      </c>
      <c r="F76" s="1">
        <f>F75+Table1[[#This Row],[Change]]</f>
        <v>-6138500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2019-05-23T01:21:35Z</dcterms:modified>
</cp:coreProperties>
</file>