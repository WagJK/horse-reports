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Google Drive\Horse Reports\"/>
    </mc:Choice>
  </mc:AlternateContent>
  <bookViews>
    <workbookView xWindow="5025" yWindow="-15" windowWidth="5025" windowHeight="7680"/>
  </bookViews>
  <sheets>
    <sheet name="Fund" sheetId="1" r:id="rId1"/>
  </sheets>
  <calcPr calcId="171027"/>
</workbook>
</file>

<file path=xl/calcChain.xml><?xml version="1.0" encoding="utf-8"?>
<calcChain xmlns="http://schemas.openxmlformats.org/spreadsheetml/2006/main">
  <c r="I1" i="1" l="1"/>
  <c r="E90" i="1"/>
  <c r="C90" i="1"/>
  <c r="E89" i="1" l="1"/>
  <c r="C89" i="1"/>
  <c r="E88" i="1" l="1"/>
  <c r="C88" i="1"/>
  <c r="E87" i="1" l="1"/>
  <c r="C87" i="1"/>
  <c r="E86" i="1" l="1"/>
  <c r="C86" i="1"/>
  <c r="E85" i="1" l="1"/>
  <c r="C85" i="1"/>
  <c r="E84" i="1" l="1"/>
  <c r="C84" i="1"/>
  <c r="C83" i="1" l="1"/>
  <c r="E83" i="1"/>
  <c r="E82" i="1" l="1"/>
  <c r="C82" i="1"/>
  <c r="E81" i="1" l="1"/>
  <c r="C81" i="1"/>
  <c r="E80" i="1" l="1"/>
  <c r="C80" i="1"/>
  <c r="E79" i="1" l="1"/>
  <c r="C79" i="1"/>
  <c r="E78" i="1" l="1"/>
  <c r="C78" i="1"/>
  <c r="E77" i="1" l="1"/>
  <c r="C77" i="1"/>
  <c r="C76" i="1" l="1"/>
  <c r="E76" i="1"/>
  <c r="E75" i="1" l="1"/>
  <c r="C75" i="1"/>
  <c r="E74" i="1" l="1"/>
  <c r="C74" i="1"/>
  <c r="E73" i="1" l="1"/>
  <c r="C73" i="1"/>
  <c r="E71" i="1" l="1"/>
  <c r="C71" i="1"/>
  <c r="E72" i="1" l="1"/>
  <c r="C72" i="1"/>
  <c r="E70" i="1" l="1"/>
  <c r="C70" i="1"/>
  <c r="C69" i="1" l="1"/>
  <c r="E69" i="1"/>
  <c r="E68" i="1" l="1"/>
  <c r="C68" i="1"/>
  <c r="E67" i="1" l="1"/>
  <c r="C67" i="1"/>
  <c r="E66" i="1" l="1"/>
  <c r="C66" i="1"/>
  <c r="E65" i="1" l="1"/>
  <c r="C65" i="1"/>
  <c r="E64" i="1" l="1"/>
  <c r="C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E44" i="1" l="1"/>
  <c r="C44" i="1"/>
  <c r="E43" i="1" l="1"/>
  <c r="C43" i="1"/>
  <c r="E42" i="1" l="1"/>
  <c r="E41" i="1"/>
  <c r="C42" i="1"/>
  <c r="C41" i="1"/>
  <c r="C38" i="1" l="1"/>
  <c r="C3" i="1"/>
  <c r="C40" i="1"/>
  <c r="E40" i="1"/>
  <c r="E39" i="1" l="1"/>
  <c r="C39" i="1"/>
  <c r="E38" i="1" l="1"/>
  <c r="E37" i="1" l="1"/>
  <c r="C37" i="1"/>
  <c r="E36" i="1" l="1"/>
  <c r="E35" i="1"/>
  <c r="C36" i="1"/>
  <c r="E34" i="1" l="1"/>
  <c r="C35" i="1"/>
  <c r="C34" i="1"/>
  <c r="E33" i="1" l="1"/>
  <c r="C33" i="1"/>
  <c r="E32" i="1" l="1"/>
  <c r="C32" i="1"/>
  <c r="E31" i="1" l="1"/>
  <c r="E30" i="1"/>
  <c r="C31" i="1"/>
  <c r="E29" i="1" l="1"/>
  <c r="C29" i="1"/>
  <c r="C30" i="1"/>
  <c r="C28" i="1" l="1"/>
  <c r="E28" i="1" l="1"/>
  <c r="E27" i="1" l="1"/>
  <c r="E26" i="1"/>
  <c r="C27" i="1"/>
  <c r="C26" i="1" l="1"/>
  <c r="C25" i="1"/>
  <c r="E25" i="1" l="1"/>
  <c r="E24" i="1" l="1"/>
  <c r="C24" i="1"/>
  <c r="E23" i="1"/>
  <c r="C23" i="1"/>
  <c r="C22" i="1" l="1"/>
  <c r="E22" i="1" l="1"/>
  <c r="E21" i="1" l="1"/>
  <c r="C21" i="1"/>
  <c r="E20" i="1" l="1"/>
  <c r="C20" i="1"/>
  <c r="E19" i="1" l="1"/>
  <c r="C19" i="1"/>
  <c r="E18" i="1" l="1"/>
  <c r="C18" i="1"/>
  <c r="D3" i="1" l="1"/>
  <c r="E3" i="1"/>
  <c r="F3" i="1" s="1"/>
  <c r="C4" i="1"/>
  <c r="E4" i="1"/>
  <c r="C5" i="1"/>
  <c r="E5" i="1"/>
  <c r="C6" i="1"/>
  <c r="E6" i="1"/>
  <c r="C7" i="1"/>
  <c r="E7" i="1"/>
  <c r="C8" i="1"/>
  <c r="E8" i="1"/>
  <c r="C9" i="1"/>
  <c r="E9" i="1"/>
  <c r="C10" i="1"/>
  <c r="E10" i="1"/>
  <c r="C11" i="1"/>
  <c r="E11" i="1"/>
  <c r="C12" i="1"/>
  <c r="E12" i="1"/>
  <c r="C13" i="1"/>
  <c r="E13" i="1"/>
  <c r="C14" i="1"/>
  <c r="E14" i="1"/>
  <c r="C15" i="1"/>
  <c r="E15" i="1"/>
  <c r="C16" i="1"/>
  <c r="E16" i="1"/>
  <c r="C17" i="1"/>
  <c r="E17" i="1"/>
  <c r="D4" i="1" l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l="1"/>
  <c r="D24" i="1"/>
  <c r="F46" i="1" l="1"/>
  <c r="F47" i="1" s="1"/>
  <c r="D25" i="1"/>
  <c r="F48" i="1" l="1"/>
  <c r="D26" i="1"/>
  <c r="F49" i="1" l="1"/>
  <c r="D27" i="1"/>
  <c r="F50" i="1" l="1"/>
  <c r="D28" i="1"/>
  <c r="D29" i="1" s="1"/>
  <c r="F51" i="1" l="1"/>
  <c r="D30" i="1"/>
  <c r="F52" i="1" l="1"/>
  <c r="D31" i="1"/>
  <c r="F53" i="1" l="1"/>
  <c r="D32" i="1"/>
  <c r="F54" i="1" l="1"/>
  <c r="D33" i="1"/>
  <c r="F55" i="1" l="1"/>
  <c r="D34" i="1"/>
  <c r="F56" i="1" l="1"/>
  <c r="D35" i="1"/>
  <c r="F57" i="1" l="1"/>
  <c r="D36" i="1"/>
  <c r="F58" i="1" l="1"/>
  <c r="D37" i="1"/>
  <c r="F59" i="1" l="1"/>
  <c r="D38" i="1"/>
  <c r="F60" i="1" l="1"/>
  <c r="D39" i="1"/>
  <c r="F61" i="1" l="1"/>
  <c r="D40" i="1"/>
  <c r="F62" i="1" l="1"/>
  <c r="D41" i="1"/>
  <c r="F63" i="1" l="1"/>
  <c r="D42" i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l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F64" i="1"/>
  <c r="F65" i="1" l="1"/>
  <c r="F66" i="1" l="1"/>
  <c r="F67" i="1" l="1"/>
  <c r="F68" i="1" l="1"/>
  <c r="F69" i="1" s="1"/>
  <c r="F70" i="1" l="1"/>
  <c r="F71" i="1" s="1"/>
  <c r="F72" i="1" s="1"/>
  <c r="F73" i="1" l="1"/>
  <c r="F74" i="1" l="1"/>
  <c r="F75" i="1" l="1"/>
  <c r="F76" i="1" l="1"/>
  <c r="F77" i="1" l="1"/>
  <c r="F78" i="1" l="1"/>
  <c r="F79" i="1" s="1"/>
  <c r="F80" i="1" l="1"/>
  <c r="F81" i="1" l="1"/>
  <c r="F82" i="1" l="1"/>
  <c r="F83" i="1" l="1"/>
  <c r="F84" i="1" l="1"/>
  <c r="F85" i="1" l="1"/>
  <c r="F86" i="1" s="1"/>
  <c r="F87" i="1" l="1"/>
  <c r="F88" i="1" l="1"/>
  <c r="F89" i="1" l="1"/>
  <c r="F90" i="1" l="1"/>
</calcChain>
</file>

<file path=xl/sharedStrings.xml><?xml version="1.0" encoding="utf-8"?>
<sst xmlns="http://schemas.openxmlformats.org/spreadsheetml/2006/main" count="100" uniqueCount="73">
  <si>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</si>
  <si>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</si>
  <si>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</si>
  <si>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</si>
  <si>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</si>
  <si>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</si>
  <si>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</si>
  <si>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</si>
  <si>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2P-2L</t>
  </si>
  <si>
    <t>2L</t>
  </si>
  <si>
    <t>2P-1PQ-2L</t>
  </si>
  <si>
    <t>4L</t>
  </si>
  <si>
    <t>1W-3L</t>
  </si>
  <si>
    <t>1P-4L</t>
  </si>
  <si>
    <t>1W-1P-1L</t>
  </si>
  <si>
    <t>5L</t>
  </si>
  <si>
    <t>1W-1L</t>
  </si>
  <si>
    <t>1W-2L</t>
  </si>
  <si>
    <t>1P-2L</t>
  </si>
  <si>
    <t>1W-2P-1L</t>
  </si>
  <si>
    <t>3L</t>
  </si>
  <si>
    <t>3W-1P</t>
  </si>
  <si>
    <t>4P-3PQ-2L</t>
  </si>
  <si>
    <t>1W-1Queue-4L</t>
  </si>
  <si>
    <t>3P-3L</t>
  </si>
  <si>
    <t>1P-4L</t>
    <phoneticPr fontId="2" type="noConversion"/>
  </si>
  <si>
    <t>2L</t>
    <phoneticPr fontId="2" type="noConversion"/>
  </si>
  <si>
    <t>3L</t>
    <phoneticPr fontId="2" type="noConversion"/>
  </si>
  <si>
    <t>1W-1P-1PQ-2L</t>
    <phoneticPr fontId="2" type="noConversion"/>
  </si>
  <si>
    <t>1W-1P-1Queue-2L</t>
    <phoneticPr fontId="2" type="noConversion"/>
  </si>
  <si>
    <t>1P-1PQ-3L</t>
    <phoneticPr fontId="2" type="noConversion"/>
  </si>
  <si>
    <t>1W-1P-1Queue-2L</t>
    <phoneticPr fontId="2" type="noConversion"/>
  </si>
  <si>
    <t>2P-2L</t>
    <phoneticPr fontId="2" type="noConversion"/>
  </si>
  <si>
    <t>1W-3L</t>
    <phoneticPr fontId="2" type="noConversion"/>
  </si>
  <si>
    <t>1P-4L</t>
    <phoneticPr fontId="2" type="noConversion"/>
  </si>
  <si>
    <t>1W-1P-3L</t>
    <phoneticPr fontId="2" type="noConversion"/>
  </si>
  <si>
    <t>1W-1P-1Queue-1PQ-1L</t>
    <phoneticPr fontId="2" type="noConversion"/>
  </si>
  <si>
    <t>1P-2L</t>
    <phoneticPr fontId="2" type="noConversion"/>
  </si>
  <si>
    <t>1P-1PQ-3L</t>
    <phoneticPr fontId="2" type="noConversion"/>
  </si>
  <si>
    <t>2P-2L</t>
    <phoneticPr fontId="2" type="noConversion"/>
  </si>
  <si>
    <t>2P-1PQ-2L</t>
    <phoneticPr fontId="2" type="noConversion"/>
  </si>
  <si>
    <t>2W-2L</t>
    <phoneticPr fontId="2" type="noConversion"/>
  </si>
  <si>
    <t>4L</t>
    <phoneticPr fontId="2" type="noConversion"/>
  </si>
  <si>
    <t>1W-2P-2PQ-1L</t>
    <phoneticPr fontId="2" type="noConversion"/>
  </si>
  <si>
    <t>1W-3L</t>
    <phoneticPr fontId="2" type="noConversion"/>
  </si>
  <si>
    <t>1W-1P-1Queue-2L</t>
    <phoneticPr fontId="2" type="noConversion"/>
  </si>
  <si>
    <t>2W</t>
    <phoneticPr fontId="2" type="noConversion"/>
  </si>
  <si>
    <t>1P-2L</t>
    <phoneticPr fontId="2" type="noConversion"/>
  </si>
  <si>
    <t>2L</t>
    <phoneticPr fontId="2" type="noConversion"/>
  </si>
  <si>
    <t>1P-2L</t>
    <phoneticPr fontId="2" type="noConversion"/>
  </si>
  <si>
    <t>2W-1PQ-2L</t>
    <phoneticPr fontId="2" type="noConversion"/>
  </si>
  <si>
    <t>3L</t>
    <phoneticPr fontId="2" type="noConversion"/>
  </si>
  <si>
    <t>1P-3L</t>
    <phoneticPr fontId="2" type="noConversion"/>
  </si>
  <si>
    <t>2P-3L</t>
    <phoneticPr fontId="2" type="noConversion"/>
  </si>
  <si>
    <t>3W-3L</t>
    <phoneticPr fontId="2" type="noConversion"/>
  </si>
  <si>
    <t>1W-1L</t>
    <phoneticPr fontId="2" type="noConversion"/>
  </si>
  <si>
    <t>1W-1P-2L</t>
    <phoneticPr fontId="2" type="noConversion"/>
  </si>
  <si>
    <t>3L</t>
    <phoneticPr fontId="2" type="noConversion"/>
  </si>
  <si>
    <t>2P-1Queue-1L</t>
    <phoneticPr fontId="2" type="noConversion"/>
  </si>
  <si>
    <t>1W-2P</t>
    <phoneticPr fontId="2" type="noConversion"/>
  </si>
  <si>
    <t>2P-1Queue-1L</t>
    <phoneticPr fontId="2" type="noConversion"/>
  </si>
  <si>
    <t>1W-1PQ-3L</t>
    <phoneticPr fontId="2" type="noConversion"/>
  </si>
  <si>
    <t>2P-1PQ-2L</t>
    <phoneticPr fontId="2" type="noConversion"/>
  </si>
  <si>
    <t>1P-2L</t>
    <phoneticPr fontId="2" type="noConversion"/>
  </si>
  <si>
    <t>1P-3L</t>
    <phoneticPr fontId="2" type="noConversion"/>
  </si>
  <si>
    <t>3L</t>
    <phoneticPr fontId="2" type="noConversion"/>
  </si>
  <si>
    <t>1P-1L</t>
  </si>
  <si>
    <t>1L</t>
  </si>
  <si>
    <t>1W-1P-3L</t>
  </si>
  <si>
    <t>1P</t>
  </si>
  <si>
    <t>2P</t>
  </si>
  <si>
    <t>2W-3P-1L</t>
  </si>
  <si>
    <t>3P-1PQ-3L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</si>
</sst>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HK$&quot;#,##0.00_);[Red]\(&quot;HK$&quot;#,##0.00\)"/>
    <numFmt numFmtId="165" formatCode="yyyy/m/d;@"/>
  </numFmts>
  <fonts count="3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001567195404921"/>
          <c:y val="0.1698611416589686"/>
          <c:w val="0.8176979471768927"/>
          <c:h val="0.5103004829022705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Fund!$A$2:$A$90</c:f>
              <c:strCache>
                <c:ptCount val="89"/>
                <c:pt idx="0">
                  <c:v>-</c:v>
                </c:pt>
                <c:pt idx="1">
                  <c:v>2016/9/3</c:v>
                </c:pt>
                <c:pt idx="2">
                  <c:v>2016/9/7</c:v>
                </c:pt>
                <c:pt idx="3">
                  <c:v>2016/9/11</c:v>
                </c:pt>
                <c:pt idx="4">
                  <c:v>2016/9/18</c:v>
                </c:pt>
                <c:pt idx="5">
                  <c:v>2016/9/22</c:v>
                </c:pt>
                <c:pt idx="6">
                  <c:v>2016/9/25</c:v>
                </c:pt>
                <c:pt idx="7">
                  <c:v>2016/9/28</c:v>
                </c:pt>
                <c:pt idx="8">
                  <c:v>2016/10/1</c:v>
                </c:pt>
                <c:pt idx="9">
                  <c:v>2016/10/5</c:v>
                </c:pt>
                <c:pt idx="10">
                  <c:v>2016/10/8</c:v>
                </c:pt>
                <c:pt idx="11">
                  <c:v>2016/10/12</c:v>
                </c:pt>
                <c:pt idx="12">
                  <c:v>2016/10/16</c:v>
                </c:pt>
                <c:pt idx="13">
                  <c:v>2016/10/19</c:v>
                </c:pt>
                <c:pt idx="14">
                  <c:v>2016/10/23</c:v>
                </c:pt>
                <c:pt idx="15">
                  <c:v>2016/10/26</c:v>
                </c:pt>
                <c:pt idx="16">
                  <c:v>2016/10/30</c:v>
                </c:pt>
                <c:pt idx="17">
                  <c:v>2016/11/2</c:v>
                </c:pt>
                <c:pt idx="18">
                  <c:v>2016/11/6</c:v>
                </c:pt>
                <c:pt idx="19">
                  <c:v>2016/11/9</c:v>
                </c:pt>
                <c:pt idx="20">
                  <c:v>2016/11/12</c:v>
                </c:pt>
                <c:pt idx="21">
                  <c:v>2016/11/16</c:v>
                </c:pt>
                <c:pt idx="22">
                  <c:v>2016/11/20</c:v>
                </c:pt>
                <c:pt idx="23">
                  <c:v>2016/11/23</c:v>
                </c:pt>
                <c:pt idx="24">
                  <c:v>2016/11/27</c:v>
                </c:pt>
                <c:pt idx="25">
                  <c:v>2016/11/30</c:v>
                </c:pt>
                <c:pt idx="26">
                  <c:v>2016/12/4</c:v>
                </c:pt>
                <c:pt idx="27">
                  <c:v>2016/12/7</c:v>
                </c:pt>
                <c:pt idx="28">
                  <c:v>2016/12/11</c:v>
                </c:pt>
                <c:pt idx="29">
                  <c:v>2016/12/14</c:v>
                </c:pt>
                <c:pt idx="30">
                  <c:v>2016/12/17</c:v>
                </c:pt>
                <c:pt idx="31">
                  <c:v>2016/12/22</c:v>
                </c:pt>
                <c:pt idx="32">
                  <c:v>2016/12/27</c:v>
                </c:pt>
                <c:pt idx="33">
                  <c:v>2017/1/1</c:v>
                </c:pt>
                <c:pt idx="34">
                  <c:v>2017/1/4</c:v>
                </c:pt>
                <c:pt idx="35">
                  <c:v>2017/1/8</c:v>
                </c:pt>
                <c:pt idx="36">
                  <c:v>2017/1/11</c:v>
                </c:pt>
                <c:pt idx="37">
                  <c:v>2017/1/14</c:v>
                </c:pt>
                <c:pt idx="38">
                  <c:v>2017/1/18</c:v>
                </c:pt>
                <c:pt idx="39">
                  <c:v>2017/1/22</c:v>
                </c:pt>
                <c:pt idx="40">
                  <c:v>2017/1/25</c:v>
                </c:pt>
                <c:pt idx="41">
                  <c:v>2017/1/30</c:v>
                </c:pt>
                <c:pt idx="42">
                  <c:v>2017/2/2</c:v>
                </c:pt>
                <c:pt idx="43">
                  <c:v>2017/2/5</c:v>
                </c:pt>
                <c:pt idx="44">
                  <c:v>2017/2/8</c:v>
                </c:pt>
                <c:pt idx="45">
                  <c:v>2017/2/11</c:v>
                </c:pt>
                <c:pt idx="46">
                  <c:v>2017/2/15</c:v>
                </c:pt>
                <c:pt idx="47">
                  <c:v>2017/2/19</c:v>
                </c:pt>
                <c:pt idx="48">
                  <c:v>2017/2/22</c:v>
                </c:pt>
                <c:pt idx="49">
                  <c:v>2017/2/26</c:v>
                </c:pt>
                <c:pt idx="50">
                  <c:v>2017/3/1</c:v>
                </c:pt>
                <c:pt idx="51">
                  <c:v>2017/3/5</c:v>
                </c:pt>
                <c:pt idx="52">
                  <c:v>2017/3/8</c:v>
                </c:pt>
                <c:pt idx="53">
                  <c:v>2017/3/12</c:v>
                </c:pt>
                <c:pt idx="54">
                  <c:v>2017/3/15</c:v>
                </c:pt>
                <c:pt idx="55">
                  <c:v>2017/3/19</c:v>
                </c:pt>
                <c:pt idx="56">
                  <c:v>2017/3/22</c:v>
                </c:pt>
                <c:pt idx="57">
                  <c:v>2017/3/26</c:v>
                </c:pt>
                <c:pt idx="58">
                  <c:v>2017/3/29</c:v>
                </c:pt>
                <c:pt idx="59">
                  <c:v>2017/4/2</c:v>
                </c:pt>
                <c:pt idx="60">
                  <c:v>2017/4/5</c:v>
                </c:pt>
                <c:pt idx="61">
                  <c:v>2017/4/9</c:v>
                </c:pt>
                <c:pt idx="62">
                  <c:v>2017/4/12</c:v>
                </c:pt>
                <c:pt idx="63">
                  <c:v>2017/4/17</c:v>
                </c:pt>
                <c:pt idx="64">
                  <c:v>2017/4/20</c:v>
                </c:pt>
                <c:pt idx="65">
                  <c:v>2017/4/23</c:v>
                </c:pt>
                <c:pt idx="66">
                  <c:v>2017/4/26</c:v>
                </c:pt>
                <c:pt idx="67">
                  <c:v>2017/4/30</c:v>
                </c:pt>
                <c:pt idx="68">
                  <c:v>2017/5/3</c:v>
                </c:pt>
                <c:pt idx="69">
                  <c:v>2017/5/7</c:v>
                </c:pt>
                <c:pt idx="70">
                  <c:v>2017/5/10</c:v>
                </c:pt>
                <c:pt idx="71">
                  <c:v>2017/5/13</c:v>
                </c:pt>
                <c:pt idx="72">
                  <c:v>2017/5/17</c:v>
                </c:pt>
                <c:pt idx="73">
                  <c:v>2017/5/21</c:v>
                </c:pt>
                <c:pt idx="74">
                  <c:v>2017/5/24</c:v>
                </c:pt>
                <c:pt idx="75">
                  <c:v>2017/5/28</c:v>
                </c:pt>
                <c:pt idx="76">
                  <c:v>2017/5/31</c:v>
                </c:pt>
                <c:pt idx="77">
                  <c:v>2017/6/4</c:v>
                </c:pt>
                <c:pt idx="78">
                  <c:v>2017/6/7</c:v>
                </c:pt>
                <c:pt idx="79">
                  <c:v>2017/6/11</c:v>
                </c:pt>
                <c:pt idx="80">
                  <c:v>2017/6/14</c:v>
                </c:pt>
                <c:pt idx="81">
                  <c:v>2017/6/18</c:v>
                </c:pt>
                <c:pt idx="82">
                  <c:v>2017/6/21</c:v>
                </c:pt>
                <c:pt idx="83">
                  <c:v>2017/6/25</c:v>
                </c:pt>
                <c:pt idx="84">
                  <c:v>2017/6/28</c:v>
                </c:pt>
                <c:pt idx="85">
                  <c:v>2017/7/1</c:v>
                </c:pt>
                <c:pt idx="86">
                  <c:v>2017/7/9</c:v>
                </c:pt>
                <c:pt idx="87">
                  <c:v>2017/7/12</c:v>
                </c:pt>
                <c:pt idx="88">
                  <c:v>2017/7/16</c:v>
                </c:pt>
              </c:strCache>
            </c:strRef>
          </c:cat>
          <c:val>
            <c:numRef>
              <c:f>Fund!$F$2:$F$90</c:f>
              <c:numCache>
                <c:formatCode>"HK$"#,##0.00_);[Red]\("HK$"#,##0.00\)</c:formatCode>
                <c:ptCount val="89"/>
                <c:pt idx="0">
                  <c:v>12000000</c:v>
                </c:pt>
                <c:pt idx="1">
                  <c:v>11776800</c:v>
                </c:pt>
                <c:pt idx="2">
                  <c:v>11474400</c:v>
                </c:pt>
                <c:pt idx="3">
                  <c:v>11457000</c:v>
                </c:pt>
                <c:pt idx="4">
                  <c:v>10957800</c:v>
                </c:pt>
                <c:pt idx="5">
                  <c:v>10812000</c:v>
                </c:pt>
                <c:pt idx="6">
                  <c:v>10182000</c:v>
                </c:pt>
                <c:pt idx="7">
                  <c:v>10498800</c:v>
                </c:pt>
                <c:pt idx="8">
                  <c:v>9807600</c:v>
                </c:pt>
                <c:pt idx="9">
                  <c:v>10182000</c:v>
                </c:pt>
                <c:pt idx="10">
                  <c:v>10254000</c:v>
                </c:pt>
                <c:pt idx="11">
                  <c:v>10623000</c:v>
                </c:pt>
                <c:pt idx="12">
                  <c:v>10354800</c:v>
                </c:pt>
                <c:pt idx="13">
                  <c:v>10419600</c:v>
                </c:pt>
                <c:pt idx="14">
                  <c:v>9944400</c:v>
                </c:pt>
                <c:pt idx="15">
                  <c:v>10615800</c:v>
                </c:pt>
                <c:pt idx="16">
                  <c:v>11429400</c:v>
                </c:pt>
                <c:pt idx="17">
                  <c:v>12231600</c:v>
                </c:pt>
                <c:pt idx="18">
                  <c:v>11734800</c:v>
                </c:pt>
                <c:pt idx="19">
                  <c:v>11432400</c:v>
                </c:pt>
                <c:pt idx="20">
                  <c:v>10869000</c:v>
                </c:pt>
                <c:pt idx="21">
                  <c:v>10287600</c:v>
                </c:pt>
                <c:pt idx="22">
                  <c:v>9754800</c:v>
                </c:pt>
                <c:pt idx="23">
                  <c:v>9452400</c:v>
                </c:pt>
                <c:pt idx="24">
                  <c:v>8955600</c:v>
                </c:pt>
                <c:pt idx="25">
                  <c:v>9302400</c:v>
                </c:pt>
                <c:pt idx="26">
                  <c:v>9483600</c:v>
                </c:pt>
                <c:pt idx="27">
                  <c:v>9161400</c:v>
                </c:pt>
                <c:pt idx="28">
                  <c:v>9439200</c:v>
                </c:pt>
                <c:pt idx="29">
                  <c:v>9286200</c:v>
                </c:pt>
                <c:pt idx="30">
                  <c:v>9068400</c:v>
                </c:pt>
                <c:pt idx="31">
                  <c:v>8562600</c:v>
                </c:pt>
                <c:pt idx="32">
                  <c:v>9050400</c:v>
                </c:pt>
                <c:pt idx="33">
                  <c:v>10735200</c:v>
                </c:pt>
                <c:pt idx="34">
                  <c:v>10634400</c:v>
                </c:pt>
                <c:pt idx="35">
                  <c:v>10467000</c:v>
                </c:pt>
                <c:pt idx="36">
                  <c:v>10173600</c:v>
                </c:pt>
                <c:pt idx="37">
                  <c:v>10339800</c:v>
                </c:pt>
                <c:pt idx="38">
                  <c:v>10521600</c:v>
                </c:pt>
                <c:pt idx="39">
                  <c:v>9895200</c:v>
                </c:pt>
                <c:pt idx="40">
                  <c:v>10890000</c:v>
                </c:pt>
                <c:pt idx="41">
                  <c:v>10503000</c:v>
                </c:pt>
                <c:pt idx="42">
                  <c:v>10551600</c:v>
                </c:pt>
                <c:pt idx="43">
                  <c:v>11397600</c:v>
                </c:pt>
                <c:pt idx="44">
                  <c:v>10954350</c:v>
                </c:pt>
                <c:pt idx="45">
                  <c:v>10522350</c:v>
                </c:pt>
                <c:pt idx="46">
                  <c:v>10369350</c:v>
                </c:pt>
                <c:pt idx="47">
                  <c:v>12680100</c:v>
                </c:pt>
                <c:pt idx="48">
                  <c:v>11978100</c:v>
                </c:pt>
                <c:pt idx="49">
                  <c:v>11406600</c:v>
                </c:pt>
                <c:pt idx="50">
                  <c:v>11053100</c:v>
                </c:pt>
                <c:pt idx="51">
                  <c:v>11269100</c:v>
                </c:pt>
                <c:pt idx="52">
                  <c:v>11311850</c:v>
                </c:pt>
                <c:pt idx="53">
                  <c:v>10900100</c:v>
                </c:pt>
                <c:pt idx="54">
                  <c:v>10414100</c:v>
                </c:pt>
                <c:pt idx="55">
                  <c:v>9523100</c:v>
                </c:pt>
                <c:pt idx="56">
                  <c:v>9219350</c:v>
                </c:pt>
                <c:pt idx="57">
                  <c:v>10341350</c:v>
                </c:pt>
                <c:pt idx="58">
                  <c:v>11189600</c:v>
                </c:pt>
                <c:pt idx="59">
                  <c:v>11558600</c:v>
                </c:pt>
                <c:pt idx="60">
                  <c:v>12196850</c:v>
                </c:pt>
                <c:pt idx="61">
                  <c:v>12022100</c:v>
                </c:pt>
                <c:pt idx="62">
                  <c:v>11680100</c:v>
                </c:pt>
                <c:pt idx="63">
                  <c:v>10872350</c:v>
                </c:pt>
                <c:pt idx="64">
                  <c:v>10332350</c:v>
                </c:pt>
                <c:pt idx="65">
                  <c:v>9889100</c:v>
                </c:pt>
                <c:pt idx="66">
                  <c:v>10541600</c:v>
                </c:pt>
                <c:pt idx="67">
                  <c:v>9947600</c:v>
                </c:pt>
                <c:pt idx="68">
                  <c:v>9837350</c:v>
                </c:pt>
                <c:pt idx="69">
                  <c:v>9301850</c:v>
                </c:pt>
                <c:pt idx="70">
                  <c:v>9175850</c:v>
                </c:pt>
                <c:pt idx="71">
                  <c:v>9111350</c:v>
                </c:pt>
                <c:pt idx="72">
                  <c:v>8722100</c:v>
                </c:pt>
                <c:pt idx="73">
                  <c:v>7921100</c:v>
                </c:pt>
                <c:pt idx="74">
                  <c:v>7705100</c:v>
                </c:pt>
                <c:pt idx="75">
                  <c:v>7111100</c:v>
                </c:pt>
                <c:pt idx="76">
                  <c:v>7203350</c:v>
                </c:pt>
                <c:pt idx="77">
                  <c:v>7313600</c:v>
                </c:pt>
                <c:pt idx="78">
                  <c:v>7140350</c:v>
                </c:pt>
                <c:pt idx="79">
                  <c:v>6438350</c:v>
                </c:pt>
                <c:pt idx="80">
                  <c:v>5952350</c:v>
                </c:pt>
                <c:pt idx="81">
                  <c:v>5466350</c:v>
                </c:pt>
                <c:pt idx="82">
                  <c:v>5524850</c:v>
                </c:pt>
                <c:pt idx="83">
                  <c:v>5612600</c:v>
                </c:pt>
                <c:pt idx="84">
                  <c:v>5234600</c:v>
                </c:pt>
                <c:pt idx="85">
                  <c:v>4640600</c:v>
                </c:pt>
                <c:pt idx="86">
                  <c:v>5200850</c:v>
                </c:pt>
                <c:pt idx="87">
                  <c:v>4507850</c:v>
                </c:pt>
                <c:pt idx="88">
                  <c:v>4326350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13000000"/>
          <c:min val="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midCat"/>
        <c:majorUnit val="5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133349</xdr:colOff>
      <xdr:row>5</xdr:row>
      <xdr:rowOff>47624</xdr:rowOff>
    </xdr:from>
    <xdr:to>
      <xdr:col>20</xdr:col>
      <xdr:colOff>295275</xdr:colOff>
      <xdr:row>47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F90" totalsRowShown="0" headerRowDxfId="11">
  <tableColumns count="6">
    <tableColumn id="1" name="Date" dataDxfId="10" totalsRowDxfId="9"/>
    <tableColumn id="2" name="Result" dataDxfId="8" totalsRowDxfId="7"/>
    <tableColumn id="6" name="Bet Value" dataDxfId="6" totalsRowDxfId="5">
      <calculatedColumnFormula>4*96000+1*32000</calculatedColumnFormula>
    </tableColumn>
    <tableColumn id="4" name="Accu. Bet Value" dataDxfId="4" totalsRowDxfId="3">
      <calculatedColumnFormula>D1+Table1[[#This Row],[Bet Value]]</calculatedColumnFormula>
    </tableColumn>
    <tableColumn id="3" name="Change" dataDxfId="2"/>
    <tableColumn id="5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0"/>
  <sheetViews>
    <sheetView tabSelected="1" zoomScaleNormal="100" workbookViewId="0"/>
  </sheetViews>
  <sheetFormatPr defaultRowHeight="15"/>
  <cols>
    <col min="1" max="1" width="12.7109375" style="10" customWidth="1"/>
    <col min="2" max="2" width="20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9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F90</f>
        <v>4326350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12000000</v>
      </c>
      <c r="G2" s="4"/>
      <c r="H2" s="3"/>
      <c r="I2" s="4"/>
    </row>
    <row r="3" spans="1:9">
      <c r="A3" s="9">
        <v>42616</v>
      </c>
      <c r="B3" s="5" t="s">
        <v>8</v>
      </c>
      <c r="C3" s="4">
        <f>4*144000+1*48000</f>
        <v>624000</v>
      </c>
      <c r="D3" s="4">
        <f>Table1[[#This Row],[Bet Value]]</f>
        <v>624000</v>
      </c>
      <c r="E3" s="4">
        <f>-256800+33600</f>
        <v>-223200</v>
      </c>
      <c r="F3" s="4">
        <f>F2+Table1[[#This Row],[Change]]</f>
        <v>11776800</v>
      </c>
      <c r="G3" s="4"/>
    </row>
    <row r="4" spans="1:9">
      <c r="A4" s="9">
        <v>42620</v>
      </c>
      <c r="B4" s="5" t="s">
        <v>9</v>
      </c>
      <c r="C4" s="4">
        <f>2*144000+1*48000</f>
        <v>336000</v>
      </c>
      <c r="D4" s="4">
        <f>Table1[[#This Row],[Bet Value]]+D3</f>
        <v>960000</v>
      </c>
      <c r="E4" s="4">
        <f>-336000+33600</f>
        <v>-302400</v>
      </c>
      <c r="F4" s="4">
        <f>F3+Table1[[#This Row],[Change]]</f>
        <v>11474400</v>
      </c>
      <c r="G4" s="4"/>
    </row>
    <row r="5" spans="1:9">
      <c r="A5" s="9">
        <v>42624</v>
      </c>
      <c r="B5" s="5" t="s">
        <v>10</v>
      </c>
      <c r="C5" s="4">
        <f>4*144000+4*48000</f>
        <v>768000</v>
      </c>
      <c r="D5" s="4">
        <f>Table1[[#This Row],[Bet Value]]+D4</f>
        <v>1728000</v>
      </c>
      <c r="E5" s="4">
        <f>-60600+43200</f>
        <v>-17400</v>
      </c>
      <c r="F5" s="4">
        <f>F4+Table1[[#This Row],[Change]]</f>
        <v>11457000</v>
      </c>
      <c r="G5" s="4"/>
    </row>
    <row r="6" spans="1:9">
      <c r="A6" s="9">
        <v>42631</v>
      </c>
      <c r="B6" s="5" t="s">
        <v>11</v>
      </c>
      <c r="C6" s="4">
        <f>4*144000+1*48000</f>
        <v>624000</v>
      </c>
      <c r="D6" s="4">
        <f>Table1[[#This Row],[Bet Value]]+D5</f>
        <v>2352000</v>
      </c>
      <c r="E6" s="4">
        <f>-561600+62400</f>
        <v>-499200</v>
      </c>
      <c r="F6" s="4">
        <f>F5+Table1[[#This Row],[Change]]</f>
        <v>10957800</v>
      </c>
      <c r="G6" s="4"/>
    </row>
    <row r="7" spans="1:9">
      <c r="A7" s="9">
        <v>42635</v>
      </c>
      <c r="B7" s="5" t="s">
        <v>12</v>
      </c>
      <c r="C7" s="4">
        <f>4*144000+1*48000</f>
        <v>624000</v>
      </c>
      <c r="D7" s="4">
        <f>Table1[[#This Row],[Bet Value]]+D6</f>
        <v>2976000</v>
      </c>
      <c r="E7" s="4">
        <f>-193800+48000</f>
        <v>-145800</v>
      </c>
      <c r="F7" s="4">
        <f>F6+Table1[[#This Row],[Change]]</f>
        <v>10812000</v>
      </c>
      <c r="G7" s="4"/>
    </row>
    <row r="8" spans="1:9">
      <c r="A8" s="9">
        <v>42638</v>
      </c>
      <c r="B8" s="5" t="s">
        <v>13</v>
      </c>
      <c r="C8" s="4">
        <f>5*144000+5*48000</f>
        <v>960000</v>
      </c>
      <c r="D8" s="4">
        <f>Table1[[#This Row],[Bet Value]]+D7</f>
        <v>3936000</v>
      </c>
      <c r="E8" s="4">
        <f>-711600+81600</f>
        <v>-630000</v>
      </c>
      <c r="F8" s="4">
        <f>F7+Table1[[#This Row],[Change]]</f>
        <v>10182000</v>
      </c>
      <c r="G8" s="4"/>
    </row>
    <row r="9" spans="1:9">
      <c r="A9" s="9">
        <v>42641</v>
      </c>
      <c r="B9" s="5" t="s">
        <v>14</v>
      </c>
      <c r="C9" s="4">
        <f>3*144000</f>
        <v>432000</v>
      </c>
      <c r="D9" s="4">
        <f>Table1[[#This Row],[Bet Value]]+D8</f>
        <v>4368000</v>
      </c>
      <c r="E9" s="4">
        <f>302400+14400</f>
        <v>316800</v>
      </c>
      <c r="F9" s="4">
        <f>F8+Table1[[#This Row],[Change]]</f>
        <v>10498800</v>
      </c>
      <c r="G9" s="4"/>
    </row>
    <row r="10" spans="1:9">
      <c r="A10" s="9">
        <v>42644</v>
      </c>
      <c r="B10" s="5" t="s">
        <v>15</v>
      </c>
      <c r="C10" s="4">
        <f>5*144000+1*48000</f>
        <v>768000</v>
      </c>
      <c r="D10" s="4">
        <f>Table1[[#This Row],[Bet Value]]+D9</f>
        <v>5136000</v>
      </c>
      <c r="E10" s="4">
        <f>-768000+76800</f>
        <v>-691200</v>
      </c>
      <c r="F10" s="4">
        <f>F9+Table1[[#This Row],[Change]]</f>
        <v>9807600</v>
      </c>
      <c r="G10" s="4"/>
    </row>
    <row r="11" spans="1:9">
      <c r="A11" s="9">
        <v>42648</v>
      </c>
      <c r="B11" s="5" t="s">
        <v>16</v>
      </c>
      <c r="C11" s="4">
        <f>2*144000+1*48000</f>
        <v>336000</v>
      </c>
      <c r="D11" s="4">
        <f>Table1[[#This Row],[Bet Value]]+D10</f>
        <v>5472000</v>
      </c>
      <c r="E11" s="4">
        <f>355200+19200</f>
        <v>374400</v>
      </c>
      <c r="F11" s="4">
        <f>F10+Table1[[#This Row],[Change]]</f>
        <v>10182000</v>
      </c>
      <c r="G11" s="4"/>
    </row>
    <row r="12" spans="1:9">
      <c r="A12" s="9">
        <v>42651</v>
      </c>
      <c r="B12" s="5" t="s">
        <v>17</v>
      </c>
      <c r="C12" s="4">
        <f>3*144000+3*48000</f>
        <v>576000</v>
      </c>
      <c r="D12" s="4">
        <f>Table1[[#This Row],[Bet Value]]+D11</f>
        <v>6048000</v>
      </c>
      <c r="E12" s="4">
        <f>28800+43200</f>
        <v>72000</v>
      </c>
      <c r="F12" s="4">
        <f>F11+Table1[[#This Row],[Change]]</f>
        <v>10254000</v>
      </c>
      <c r="G12" s="4"/>
    </row>
    <row r="13" spans="1:9">
      <c r="A13" s="9">
        <v>42655</v>
      </c>
      <c r="B13" s="5" t="s">
        <v>16</v>
      </c>
      <c r="C13" s="4">
        <f>2*144000+2*48000</f>
        <v>384000</v>
      </c>
      <c r="D13" s="4">
        <f>Table1[[#This Row],[Bet Value]]+D12</f>
        <v>6432000</v>
      </c>
      <c r="E13" s="4">
        <f>345000+24000</f>
        <v>369000</v>
      </c>
      <c r="F13" s="4">
        <f>F12+Table1[[#This Row],[Change]]</f>
        <v>10623000</v>
      </c>
      <c r="G13" s="4"/>
    </row>
    <row r="14" spans="1:9">
      <c r="A14" s="9">
        <v>42659</v>
      </c>
      <c r="B14" s="5" t="s">
        <v>18</v>
      </c>
      <c r="C14" s="4">
        <f>3*144000+2*48000</f>
        <v>528000</v>
      </c>
      <c r="D14" s="4">
        <f>Table1[[#This Row],[Bet Value]]+D13</f>
        <v>6960000</v>
      </c>
      <c r="E14" s="4">
        <f>-306600+38400</f>
        <v>-268200</v>
      </c>
      <c r="F14" s="4">
        <f>F13+Table1[[#This Row],[Change]]</f>
        <v>10354800</v>
      </c>
      <c r="G14" s="4"/>
    </row>
    <row r="15" spans="1:9">
      <c r="A15" s="9">
        <v>42662</v>
      </c>
      <c r="B15" s="5" t="s">
        <v>19</v>
      </c>
      <c r="C15" s="4">
        <f>4*144000</f>
        <v>576000</v>
      </c>
      <c r="D15" s="4">
        <f>Table1[[#This Row],[Bet Value]]+D14</f>
        <v>7536000</v>
      </c>
      <c r="E15" s="4">
        <f>50400+14400</f>
        <v>64800</v>
      </c>
      <c r="F15" s="4">
        <f>F14+Table1[[#This Row],[Change]]</f>
        <v>10419600</v>
      </c>
      <c r="G15" s="4"/>
    </row>
    <row r="16" spans="1:9">
      <c r="A16" s="9">
        <v>42666</v>
      </c>
      <c r="B16" s="5" t="s">
        <v>20</v>
      </c>
      <c r="C16" s="4">
        <f>3*144000+2*48000</f>
        <v>528000</v>
      </c>
      <c r="D16" s="4">
        <f>Table1[[#This Row],[Bet Value]]+D15</f>
        <v>8064000</v>
      </c>
      <c r="E16" s="4">
        <f>-528000+52800</f>
        <v>-475200</v>
      </c>
      <c r="F16" s="4">
        <f>F15+Table1[[#This Row],[Change]]</f>
        <v>9944400</v>
      </c>
      <c r="G16" s="4"/>
    </row>
    <row r="17" spans="1:7">
      <c r="A17" s="9">
        <v>42669</v>
      </c>
      <c r="B17" s="5" t="s">
        <v>21</v>
      </c>
      <c r="C17" s="4">
        <f>4*144000</f>
        <v>576000</v>
      </c>
      <c r="D17" s="4">
        <f>Table1[[#This Row],[Bet Value]]+D16</f>
        <v>8640000</v>
      </c>
      <c r="E17" s="4">
        <f>671400</f>
        <v>671400</v>
      </c>
      <c r="F17" s="4">
        <f>F16+Table1[[#This Row],[Change]]</f>
        <v>10615800</v>
      </c>
      <c r="G17" s="4"/>
    </row>
    <row r="18" spans="1:7">
      <c r="A18" s="9">
        <v>42673</v>
      </c>
      <c r="B18" s="5" t="s">
        <v>22</v>
      </c>
      <c r="C18" s="4">
        <f>6*144000+5*48000</f>
        <v>1104000</v>
      </c>
      <c r="D18" s="4">
        <f>Table1[[#This Row],[Bet Value]]+D17</f>
        <v>9744000</v>
      </c>
      <c r="E18" s="4">
        <f>775200+38400</f>
        <v>813600</v>
      </c>
      <c r="F18" s="4">
        <f>F17+Table1[[#This Row],[Change]]</f>
        <v>11429400</v>
      </c>
      <c r="G18" s="4"/>
    </row>
    <row r="19" spans="1:7">
      <c r="A19" s="9">
        <v>42676</v>
      </c>
      <c r="B19" s="5" t="s">
        <v>23</v>
      </c>
      <c r="C19" s="4">
        <f>5*144000+5*48000</f>
        <v>960000</v>
      </c>
      <c r="D19" s="4">
        <f>Table1[[#This Row],[Bet Value]]+D18</f>
        <v>10704000</v>
      </c>
      <c r="E19" s="4">
        <f>725400+76800</f>
        <v>802200</v>
      </c>
      <c r="F19" s="4">
        <f>F18+Table1[[#This Row],[Change]]</f>
        <v>12231600</v>
      </c>
      <c r="G19" s="4"/>
    </row>
    <row r="20" spans="1:7">
      <c r="A20" s="9">
        <v>42680</v>
      </c>
      <c r="B20" s="5" t="s">
        <v>20</v>
      </c>
      <c r="C20" s="4">
        <f>3*144000+2*48000+24000</f>
        <v>552000</v>
      </c>
      <c r="D20" s="4">
        <f>Table1[[#This Row],[Bet Value]]+D19</f>
        <v>11256000</v>
      </c>
      <c r="E20" s="4">
        <f>-552000+55200</f>
        <v>-496800</v>
      </c>
      <c r="F20" s="4">
        <f>F19+Table1[[#This Row],[Change]]</f>
        <v>11734800</v>
      </c>
      <c r="G20" s="4"/>
    </row>
    <row r="21" spans="1:7">
      <c r="A21" s="9">
        <v>42683</v>
      </c>
      <c r="B21" s="5" t="s">
        <v>24</v>
      </c>
      <c r="C21" s="4">
        <f>6*144000+4*48000</f>
        <v>1056000</v>
      </c>
      <c r="D21" s="4">
        <f>Table1[[#This Row],[Bet Value]]+D20</f>
        <v>12312000</v>
      </c>
      <c r="E21" s="4">
        <f>-364800+62400</f>
        <v>-302400</v>
      </c>
      <c r="F21" s="4">
        <f>F20+Table1[[#This Row],[Change]]</f>
        <v>11432400</v>
      </c>
      <c r="G21" s="4"/>
    </row>
    <row r="22" spans="1:7">
      <c r="A22" s="9">
        <v>42686</v>
      </c>
      <c r="B22" s="5" t="s">
        <v>13</v>
      </c>
      <c r="C22" s="4">
        <f>5*144000+3*48000</f>
        <v>864000</v>
      </c>
      <c r="D22" s="4">
        <f>Table1[[#This Row],[Bet Value]]+D21</f>
        <v>13176000</v>
      </c>
      <c r="E22" s="4">
        <f>-635400+72000</f>
        <v>-563400</v>
      </c>
      <c r="F22" s="4">
        <f>F21+Table1[[#This Row],[Change]]</f>
        <v>10869000</v>
      </c>
      <c r="G22" s="4"/>
    </row>
    <row r="23" spans="1:7" s="3" customFormat="1">
      <c r="A23" s="9">
        <v>42690</v>
      </c>
      <c r="B23" s="5" t="s">
        <v>25</v>
      </c>
      <c r="C23" s="4">
        <f>5*144000+3*48000</f>
        <v>864000</v>
      </c>
      <c r="D23" s="4">
        <f>Table1[[#This Row],[Bet Value]]+D22</f>
        <v>14040000</v>
      </c>
      <c r="E23" s="4">
        <f>-653400+72000</f>
        <v>-581400</v>
      </c>
      <c r="F23" s="4">
        <f>F22+Table1[[#This Row],[Change]]</f>
        <v>10287600</v>
      </c>
      <c r="G23" s="4"/>
    </row>
    <row r="24" spans="1:7" s="3" customFormat="1">
      <c r="A24" s="9">
        <v>42694</v>
      </c>
      <c r="B24" s="5" t="s">
        <v>25</v>
      </c>
      <c r="C24" s="4">
        <f>5*144000+4*48000</f>
        <v>912000</v>
      </c>
      <c r="D24" s="4">
        <f>Table1[[#This Row],[Bet Value]]+D23</f>
        <v>14952000</v>
      </c>
      <c r="E24" s="4">
        <f>-609600+76800</f>
        <v>-532800</v>
      </c>
      <c r="F24" s="4">
        <f>F23+Table1[[#This Row],[Change]]</f>
        <v>9754800</v>
      </c>
      <c r="G24" s="4"/>
    </row>
    <row r="25" spans="1:7" s="3" customFormat="1">
      <c r="A25" s="9">
        <v>42697</v>
      </c>
      <c r="B25" s="5" t="s">
        <v>26</v>
      </c>
      <c r="C25" s="4">
        <f>2*144000+1*48000</f>
        <v>336000</v>
      </c>
      <c r="D25" s="4">
        <f>Table1[[#This Row],[Bet Value]]+D24</f>
        <v>15288000</v>
      </c>
      <c r="E25" s="4">
        <f>-336000+33600</f>
        <v>-302400</v>
      </c>
      <c r="F25" s="4">
        <f>F24+Table1[[#This Row],[Change]]</f>
        <v>9452400</v>
      </c>
      <c r="G25" s="4"/>
    </row>
    <row r="26" spans="1:7" s="3" customFormat="1">
      <c r="A26" s="9">
        <v>42701</v>
      </c>
      <c r="B26" s="5" t="s">
        <v>27</v>
      </c>
      <c r="C26" s="4">
        <f>3*144000+2.5*48000</f>
        <v>552000</v>
      </c>
      <c r="D26" s="4">
        <f>Table1[[#This Row],[Bet Value]]+D25</f>
        <v>15840000</v>
      </c>
      <c r="E26" s="4">
        <f>-552000+55200</f>
        <v>-496800</v>
      </c>
      <c r="F26" s="4">
        <f>F25+Table1[[#This Row],[Change]]</f>
        <v>8955600</v>
      </c>
      <c r="G26" s="4"/>
    </row>
    <row r="27" spans="1:7" s="3" customFormat="1">
      <c r="A27" s="9">
        <v>42704</v>
      </c>
      <c r="B27" s="5" t="s">
        <v>28</v>
      </c>
      <c r="C27" s="4">
        <f>4*144000+2*48000</f>
        <v>672000</v>
      </c>
      <c r="D27" s="4">
        <f>Table1[[#This Row],[Bet Value]]+D26</f>
        <v>16512000</v>
      </c>
      <c r="E27" s="4">
        <f>318000+28800</f>
        <v>346800</v>
      </c>
      <c r="F27" s="4">
        <f>F26+Table1[[#This Row],[Change]]</f>
        <v>9302400</v>
      </c>
      <c r="G27" s="4"/>
    </row>
    <row r="28" spans="1:7" s="3" customFormat="1">
      <c r="A28" s="9">
        <v>42708</v>
      </c>
      <c r="B28" s="5" t="s">
        <v>29</v>
      </c>
      <c r="C28" s="4">
        <f>4*144000+3*48000</f>
        <v>720000</v>
      </c>
      <c r="D28" s="4">
        <f>Table1[[#This Row],[Bet Value]]+D27</f>
        <v>17232000</v>
      </c>
      <c r="E28" s="4">
        <f>142800+38400</f>
        <v>181200</v>
      </c>
      <c r="F28" s="4">
        <f>F27+Table1[[#This Row],[Change]]</f>
        <v>9483600</v>
      </c>
      <c r="G28" s="4"/>
    </row>
    <row r="29" spans="1:7">
      <c r="A29" s="9">
        <v>42711</v>
      </c>
      <c r="B29" s="5" t="s">
        <v>30</v>
      </c>
      <c r="C29" s="4">
        <f>4*144000+3.5*48000</f>
        <v>744000</v>
      </c>
      <c r="D29" s="4">
        <f>Table1[[#This Row],[Bet Value]]+D28</f>
        <v>17976000</v>
      </c>
      <c r="E29" s="4">
        <f>-375000+52800</f>
        <v>-322200</v>
      </c>
      <c r="F29" s="4">
        <f>F28+Table1[[#This Row],[Change]]</f>
        <v>9161400</v>
      </c>
      <c r="G29" s="4"/>
    </row>
    <row r="30" spans="1:7" s="3" customFormat="1">
      <c r="A30" s="9">
        <v>42715</v>
      </c>
      <c r="B30" s="5" t="s">
        <v>31</v>
      </c>
      <c r="C30" s="4">
        <f>4*144000+4*48000</f>
        <v>768000</v>
      </c>
      <c r="D30" s="4">
        <f>Table1[[#This Row],[Bet Value]]+D29</f>
        <v>18744000</v>
      </c>
      <c r="E30" s="4">
        <f>239400+38400</f>
        <v>277800</v>
      </c>
      <c r="F30" s="4">
        <f>F29+Table1[[#This Row],[Change]]</f>
        <v>9439200</v>
      </c>
      <c r="G30" s="4"/>
    </row>
    <row r="31" spans="1:7" s="3" customFormat="1">
      <c r="A31" s="9">
        <v>42718</v>
      </c>
      <c r="B31" s="5" t="s">
        <v>32</v>
      </c>
      <c r="C31" s="4">
        <f>4*144000+1*48000</f>
        <v>624000</v>
      </c>
      <c r="D31" s="4">
        <f>Table1[[#This Row],[Bet Value]]+D30</f>
        <v>19368000</v>
      </c>
      <c r="E31" s="4">
        <f>-186600+33600</f>
        <v>-153000</v>
      </c>
      <c r="F31" s="4">
        <f>F30+Table1[[#This Row],[Change]]</f>
        <v>9286200</v>
      </c>
      <c r="G31" s="4"/>
    </row>
    <row r="32" spans="1:7" s="3" customFormat="1">
      <c r="A32" s="9">
        <v>42721</v>
      </c>
      <c r="B32" s="5" t="s">
        <v>33</v>
      </c>
      <c r="C32" s="4">
        <f>4*144000+3*48000</f>
        <v>720000</v>
      </c>
      <c r="D32" s="4">
        <f>Table1[[#This Row],[Bet Value]]+D31</f>
        <v>20088000</v>
      </c>
      <c r="E32" s="4">
        <f>-275400+57600</f>
        <v>-217800</v>
      </c>
      <c r="F32" s="4">
        <f>F31+Table1[[#This Row],[Change]]</f>
        <v>9068400</v>
      </c>
      <c r="G32" s="4"/>
    </row>
    <row r="33" spans="1:7" s="3" customFormat="1">
      <c r="A33" s="9">
        <v>42726</v>
      </c>
      <c r="B33" s="5" t="s">
        <v>34</v>
      </c>
      <c r="C33" s="4">
        <f>5*144000+6*48000</f>
        <v>1008000</v>
      </c>
      <c r="D33" s="4">
        <f>Table1[[#This Row],[Bet Value]]+D32</f>
        <v>21096000</v>
      </c>
      <c r="E33" s="4">
        <f>-592200+86400</f>
        <v>-505800</v>
      </c>
      <c r="F33" s="4">
        <f>F32+Table1[[#This Row],[Change]]</f>
        <v>8562600</v>
      </c>
      <c r="G33" s="4"/>
    </row>
    <row r="34" spans="1:7" s="3" customFormat="1">
      <c r="A34" s="9">
        <v>42731</v>
      </c>
      <c r="B34" s="5" t="s">
        <v>35</v>
      </c>
      <c r="C34" s="4">
        <f>5*144000+5*48000</f>
        <v>960000</v>
      </c>
      <c r="D34" s="4">
        <f>Table1[[#This Row],[Bet Value]]+D33</f>
        <v>22056000</v>
      </c>
      <c r="E34" s="4">
        <f>420600+67200</f>
        <v>487800</v>
      </c>
      <c r="F34" s="4">
        <f>F33+Table1[[#This Row],[Change]]</f>
        <v>9050400</v>
      </c>
      <c r="G34" s="4"/>
    </row>
    <row r="35" spans="1:7" s="3" customFormat="1">
      <c r="A35" s="9">
        <v>42736</v>
      </c>
      <c r="B35" s="5" t="s">
        <v>36</v>
      </c>
      <c r="C35" s="4">
        <f>3*144000+4*48000</f>
        <v>624000</v>
      </c>
      <c r="D35" s="4">
        <f>Table1[[#This Row],[Bet Value]]+D34</f>
        <v>22680000</v>
      </c>
      <c r="E35" s="4">
        <f>1670400+14400</f>
        <v>1684800</v>
      </c>
      <c r="F35" s="4">
        <f>F34+Table1[[#This Row],[Change]]</f>
        <v>10735200</v>
      </c>
      <c r="G35" s="4"/>
    </row>
    <row r="36" spans="1:7" s="3" customFormat="1">
      <c r="A36" s="9">
        <v>42739</v>
      </c>
      <c r="B36" s="5" t="s">
        <v>37</v>
      </c>
      <c r="C36" s="4">
        <f>3*144000+2*48000</f>
        <v>528000</v>
      </c>
      <c r="D36" s="4">
        <f>Table1[[#This Row],[Bet Value]]+D35</f>
        <v>23208000</v>
      </c>
      <c r="E36" s="4">
        <f>-139200+38400</f>
        <v>-100800</v>
      </c>
      <c r="F36" s="4">
        <f>F35+Table1[[#This Row],[Change]]</f>
        <v>10634400</v>
      </c>
      <c r="G36" s="4"/>
    </row>
    <row r="37" spans="1:7" s="3" customFormat="1">
      <c r="A37" s="9">
        <v>42743</v>
      </c>
      <c r="B37" s="5" t="s">
        <v>38</v>
      </c>
      <c r="C37" s="4">
        <f>4*144000+5*48000</f>
        <v>816000</v>
      </c>
      <c r="D37" s="4">
        <f>Table1[[#This Row],[Bet Value]]+D36</f>
        <v>24024000</v>
      </c>
      <c r="E37" s="4">
        <f>-225000+57600</f>
        <v>-167400</v>
      </c>
      <c r="F37" s="4">
        <f>F36+Table1[[#This Row],[Change]]</f>
        <v>10467000</v>
      </c>
      <c r="G37" s="4"/>
    </row>
    <row r="38" spans="1:7" s="3" customFormat="1">
      <c r="A38" s="9">
        <v>42746</v>
      </c>
      <c r="B38" s="5" t="s">
        <v>39</v>
      </c>
      <c r="C38" s="4">
        <f>4*144000+2*48000</f>
        <v>672000</v>
      </c>
      <c r="D38" s="4">
        <f>Table1[[#This Row],[Bet Value]]+D37</f>
        <v>24696000</v>
      </c>
      <c r="E38" s="4">
        <f>-331800+38400</f>
        <v>-293400</v>
      </c>
      <c r="F38" s="4">
        <f>F37+Table1[[#This Row],[Change]]</f>
        <v>10173600</v>
      </c>
      <c r="G38" s="4"/>
    </row>
    <row r="39" spans="1:7" s="3" customFormat="1">
      <c r="A39" s="9">
        <v>42749</v>
      </c>
      <c r="B39" s="5" t="s">
        <v>40</v>
      </c>
      <c r="C39" s="4">
        <f>4*144000+3*48000</f>
        <v>720000</v>
      </c>
      <c r="D39" s="4">
        <f>Table1[[#This Row],[Bet Value]]+D38</f>
        <v>25416000</v>
      </c>
      <c r="E39" s="4">
        <f>127800+38400</f>
        <v>166200</v>
      </c>
      <c r="F39" s="4">
        <f>F38+Table1[[#This Row],[Change]]</f>
        <v>10339800</v>
      </c>
      <c r="G39" s="4"/>
    </row>
    <row r="40" spans="1:7" s="3" customFormat="1">
      <c r="A40" s="9">
        <v>42753</v>
      </c>
      <c r="B40" s="5" t="s">
        <v>41</v>
      </c>
      <c r="C40" s="4">
        <f>4*144000+2*48000</f>
        <v>672000</v>
      </c>
      <c r="D40" s="4">
        <f>Table1[[#This Row],[Bet Value]]+D39</f>
        <v>26088000</v>
      </c>
      <c r="E40" s="4">
        <f>143400+38400</f>
        <v>181800</v>
      </c>
      <c r="F40" s="4">
        <f>F39+Table1[[#This Row],[Change]]</f>
        <v>10521600</v>
      </c>
      <c r="G40" s="4"/>
    </row>
    <row r="41" spans="1:7" s="3" customFormat="1">
      <c r="A41" s="9">
        <v>42757</v>
      </c>
      <c r="B41" s="5" t="s">
        <v>42</v>
      </c>
      <c r="C41" s="4">
        <f>4*144000+2*48000+24000</f>
        <v>696000</v>
      </c>
      <c r="D41" s="4">
        <f>Table1[[#This Row],[Bet Value]]+D40</f>
        <v>26784000</v>
      </c>
      <c r="E41" s="4">
        <f>-696000+69600</f>
        <v>-626400</v>
      </c>
      <c r="F41" s="4">
        <f>F40+Table1[[#This Row],[Change]]</f>
        <v>9895200</v>
      </c>
      <c r="G41" s="4"/>
    </row>
    <row r="42" spans="1:7" s="3" customFormat="1">
      <c r="A42" s="9">
        <v>42760</v>
      </c>
      <c r="B42" s="5" t="s">
        <v>43</v>
      </c>
      <c r="C42" s="4">
        <f>4*144000+6*48000</f>
        <v>864000</v>
      </c>
      <c r="D42" s="4">
        <f>Table1[[#This Row],[Bet Value]]+D41</f>
        <v>27648000</v>
      </c>
      <c r="E42" s="4">
        <f>961200+33600</f>
        <v>994800</v>
      </c>
      <c r="F42" s="4">
        <f>F41+Table1[[#This Row],[Change]]</f>
        <v>10890000</v>
      </c>
      <c r="G42" s="4"/>
    </row>
    <row r="43" spans="1:7">
      <c r="A43" s="9">
        <v>42765</v>
      </c>
      <c r="B43" s="5" t="s">
        <v>44</v>
      </c>
      <c r="C43" s="4">
        <f>4*144000+3*48000</f>
        <v>720000</v>
      </c>
      <c r="D43" s="4">
        <f>Table1[[#This Row],[Bet Value]]+D42</f>
        <v>28368000</v>
      </c>
      <c r="E43" s="4">
        <f>-444600+57600</f>
        <v>-387000</v>
      </c>
      <c r="F43" s="4">
        <f>F42+Table1[[#This Row],[Change]]</f>
        <v>10503000</v>
      </c>
      <c r="G43" s="4"/>
    </row>
    <row r="44" spans="1:7">
      <c r="A44" s="9">
        <v>42768</v>
      </c>
      <c r="B44" s="5" t="s">
        <v>45</v>
      </c>
      <c r="C44" s="4">
        <f>4*144000+3*48000</f>
        <v>720000</v>
      </c>
      <c r="D44" s="4">
        <f>Table1[[#This Row],[Bet Value]]+D43</f>
        <v>29088000</v>
      </c>
      <c r="E44" s="4">
        <f>10200+38400</f>
        <v>48600</v>
      </c>
      <c r="F44" s="4">
        <f>F43+Table1[[#This Row],[Change]]</f>
        <v>10551600</v>
      </c>
    </row>
    <row r="45" spans="1:7">
      <c r="A45" s="9">
        <v>42771</v>
      </c>
      <c r="B45" s="5" t="s">
        <v>46</v>
      </c>
      <c r="C45" s="4">
        <f>2*180000+1*60000</f>
        <v>420000</v>
      </c>
      <c r="D45" s="4">
        <f>Table1[[#This Row],[Bet Value]]+D44</f>
        <v>29508000</v>
      </c>
      <c r="E45" s="4">
        <f>840000+6000</f>
        <v>846000</v>
      </c>
      <c r="F45" s="4">
        <f>F44+Table1[[#This Row],[Change]]</f>
        <v>11397600</v>
      </c>
    </row>
    <row r="46" spans="1:7">
      <c r="A46" s="9">
        <v>42774</v>
      </c>
      <c r="B46" s="5" t="s">
        <v>47</v>
      </c>
      <c r="C46" s="4">
        <f>3*180000+3*60000</f>
        <v>720000</v>
      </c>
      <c r="D46" s="4">
        <f>Table1[[#This Row],[Bet Value]]+D45</f>
        <v>30228000</v>
      </c>
      <c r="E46" s="4">
        <f>-497250+54000</f>
        <v>-443250</v>
      </c>
      <c r="F46" s="4">
        <f>F45+Table1[[#This Row],[Change]]</f>
        <v>10954350</v>
      </c>
    </row>
    <row r="47" spans="1:7">
      <c r="A47" s="9">
        <v>42777</v>
      </c>
      <c r="B47" s="5" t="s">
        <v>48</v>
      </c>
      <c r="C47" s="4">
        <f>2*180000+2*60000</f>
        <v>480000</v>
      </c>
      <c r="D47" s="4">
        <f>Table1[[#This Row],[Bet Value]]+D46</f>
        <v>30708000</v>
      </c>
      <c r="E47" s="4">
        <f>-480000+48000</f>
        <v>-432000</v>
      </c>
      <c r="F47" s="4">
        <f>F46+Table1[[#This Row],[Change]]</f>
        <v>10522350</v>
      </c>
    </row>
    <row r="48" spans="1:7">
      <c r="A48" s="9">
        <v>42781</v>
      </c>
      <c r="B48" s="5" t="s">
        <v>49</v>
      </c>
      <c r="C48" s="4">
        <f>3*180000+1*60000</f>
        <v>600000</v>
      </c>
      <c r="D48" s="4">
        <f>Table1[[#This Row],[Bet Value]]+D47</f>
        <v>31308000</v>
      </c>
      <c r="E48" s="4">
        <f>-195000+42000</f>
        <v>-153000</v>
      </c>
      <c r="F48" s="4">
        <f>F47+Table1[[#This Row],[Change]]</f>
        <v>10369350</v>
      </c>
    </row>
    <row r="49" spans="1:6">
      <c r="A49" s="9">
        <v>42785</v>
      </c>
      <c r="B49" s="5" t="s">
        <v>50</v>
      </c>
      <c r="C49" s="4">
        <f>4*180000+1.5*60000</f>
        <v>810000</v>
      </c>
      <c r="D49" s="4">
        <f>Table1[[#This Row],[Bet Value]]+D48</f>
        <v>32118000</v>
      </c>
      <c r="E49" s="4">
        <f>2274750+36000</f>
        <v>2310750</v>
      </c>
      <c r="F49" s="4">
        <f>F48+Table1[[#This Row],[Change]]</f>
        <v>12680100</v>
      </c>
    </row>
    <row r="50" spans="1:6">
      <c r="A50" s="9">
        <v>42788</v>
      </c>
      <c r="B50" s="5" t="s">
        <v>51</v>
      </c>
      <c r="C50" s="4">
        <f>3*180000+4*60000</f>
        <v>780000</v>
      </c>
      <c r="D50" s="4">
        <f>Table1[[#This Row],[Bet Value]]+D49</f>
        <v>32898000</v>
      </c>
      <c r="E50" s="4">
        <f>-780000+78000</f>
        <v>-702000</v>
      </c>
      <c r="F50" s="4">
        <f>F49+Table1[[#This Row],[Change]]</f>
        <v>11978100</v>
      </c>
    </row>
    <row r="51" spans="1:6">
      <c r="A51" s="9">
        <v>42792</v>
      </c>
      <c r="B51" s="5" t="s">
        <v>52</v>
      </c>
      <c r="C51" s="4">
        <f>4*180000+2*60000</f>
        <v>840000</v>
      </c>
      <c r="D51" s="4">
        <f>Table1[[#This Row],[Bet Value]]+D50</f>
        <v>33738000</v>
      </c>
      <c r="E51" s="4">
        <f>-637500+66000</f>
        <v>-571500</v>
      </c>
      <c r="F51" s="4">
        <f>F50+Table1[[#This Row],[Change]]</f>
        <v>11406600</v>
      </c>
    </row>
    <row r="52" spans="1:6">
      <c r="A52" s="9">
        <v>42795</v>
      </c>
      <c r="B52" s="5" t="s">
        <v>53</v>
      </c>
      <c r="C52" s="4">
        <f>5*180000+3.5*60000</f>
        <v>1110000</v>
      </c>
      <c r="D52" s="4">
        <f>Table1[[#This Row],[Bet Value]]+D51</f>
        <v>34848000</v>
      </c>
      <c r="E52" s="4">
        <f>-428500+75000</f>
        <v>-353500</v>
      </c>
      <c r="F52" s="4">
        <f>F51+Table1[[#This Row],[Change]]</f>
        <v>11053100</v>
      </c>
    </row>
    <row r="53" spans="1:6">
      <c r="A53" s="9">
        <v>42799</v>
      </c>
      <c r="B53" s="5" t="s">
        <v>54</v>
      </c>
      <c r="C53" s="4">
        <f>6*180000+3*60000</f>
        <v>1260000</v>
      </c>
      <c r="D53" s="4">
        <f>Table1[[#This Row],[Bet Value]]+D52</f>
        <v>36108000</v>
      </c>
      <c r="E53" s="4">
        <f>144000+72000</f>
        <v>216000</v>
      </c>
      <c r="F53" s="4">
        <f>F52+Table1[[#This Row],[Change]]</f>
        <v>11269100</v>
      </c>
    </row>
    <row r="54" spans="1:6">
      <c r="A54" s="9">
        <v>42802</v>
      </c>
      <c r="B54" s="5" t="s">
        <v>55</v>
      </c>
      <c r="C54" s="4">
        <f>2*180000+2*60000</f>
        <v>480000</v>
      </c>
      <c r="D54" s="4">
        <f>Table1[[#This Row],[Bet Value]]+D53</f>
        <v>36588000</v>
      </c>
      <c r="E54" s="4">
        <f>12750+30000</f>
        <v>42750</v>
      </c>
      <c r="F54" s="4">
        <f>F53+Table1[[#This Row],[Change]]</f>
        <v>11311850</v>
      </c>
    </row>
    <row r="55" spans="1:6">
      <c r="A55" s="9">
        <v>42806</v>
      </c>
      <c r="B55" s="5" t="s">
        <v>56</v>
      </c>
      <c r="C55" s="4">
        <f>4*180000+3*60000</f>
        <v>900000</v>
      </c>
      <c r="D55" s="4">
        <f>Table1[[#This Row],[Bet Value]]+D54</f>
        <v>37488000</v>
      </c>
      <c r="E55" s="4">
        <f>-465750+54000</f>
        <v>-411750</v>
      </c>
      <c r="F55" s="4">
        <f>F54+Table1[[#This Row],[Change]]</f>
        <v>10900100</v>
      </c>
    </row>
    <row r="56" spans="1:6">
      <c r="A56" s="9">
        <v>42809</v>
      </c>
      <c r="B56" s="5" t="s">
        <v>57</v>
      </c>
      <c r="C56" s="4">
        <f>3*180000</f>
        <v>540000</v>
      </c>
      <c r="D56" s="4">
        <f>Table1[[#This Row],[Bet Value]]+D55</f>
        <v>38028000</v>
      </c>
      <c r="E56" s="4">
        <f>-540000+54000</f>
        <v>-486000</v>
      </c>
      <c r="F56" s="4">
        <f>F55+Table1[[#This Row],[Change]]</f>
        <v>10414100</v>
      </c>
    </row>
    <row r="57" spans="1:6">
      <c r="A57" s="9">
        <v>42813</v>
      </c>
      <c r="B57" s="5" t="s">
        <v>11</v>
      </c>
      <c r="C57" s="4">
        <f>4*180000 + 4.5*60000</f>
        <v>990000</v>
      </c>
      <c r="D57" s="4">
        <f>Table1[[#This Row],[Bet Value]]+D56</f>
        <v>39018000</v>
      </c>
      <c r="E57" s="4">
        <f>-990000+99000</f>
        <v>-891000</v>
      </c>
      <c r="F57" s="4">
        <f>F56+Table1[[#This Row],[Change]]</f>
        <v>9523100</v>
      </c>
    </row>
    <row r="58" spans="1:6">
      <c r="A58" s="9">
        <v>42816</v>
      </c>
      <c r="B58" s="5" t="s">
        <v>33</v>
      </c>
      <c r="C58" s="4">
        <f>4*180000 + 2*60000</f>
        <v>840000</v>
      </c>
      <c r="D58" s="4">
        <f>Table1[[#This Row],[Bet Value]]+D57</f>
        <v>39858000</v>
      </c>
      <c r="E58" s="4">
        <f>-369750+66000</f>
        <v>-303750</v>
      </c>
      <c r="F58" s="4">
        <f>F57+Table1[[#This Row],[Change]]</f>
        <v>9219350</v>
      </c>
    </row>
    <row r="59" spans="1:6">
      <c r="A59" s="9">
        <v>42820</v>
      </c>
      <c r="B59" s="5" t="s">
        <v>58</v>
      </c>
      <c r="C59" s="4">
        <f>3*180000 + 1*60000</f>
        <v>600000</v>
      </c>
      <c r="D59" s="4">
        <f>Table1[[#This Row],[Bet Value]]+D58</f>
        <v>40458000</v>
      </c>
      <c r="E59" s="4">
        <f>1104000+18000</f>
        <v>1122000</v>
      </c>
      <c r="F59" s="4">
        <f>F58+Table1[[#This Row],[Change]]</f>
        <v>10341350</v>
      </c>
    </row>
    <row r="60" spans="1:6">
      <c r="A60" s="9">
        <v>42823</v>
      </c>
      <c r="B60" s="5" t="s">
        <v>59</v>
      </c>
      <c r="C60" s="4">
        <f>2*180000 + 1*135000</f>
        <v>495000</v>
      </c>
      <c r="D60" s="4">
        <f>Table1[[#This Row],[Bet Value]]+D59</f>
        <v>40953000</v>
      </c>
      <c r="E60" s="4">
        <f>848250+0</f>
        <v>848250</v>
      </c>
      <c r="F60" s="4">
        <f>F59+Table1[[#This Row],[Change]]</f>
        <v>11189600</v>
      </c>
    </row>
    <row r="61" spans="1:6">
      <c r="A61" s="9">
        <v>42827</v>
      </c>
      <c r="B61" s="5" t="s">
        <v>60</v>
      </c>
      <c r="C61" s="4">
        <f>3*180000 + 4*60000</f>
        <v>780000</v>
      </c>
      <c r="D61" s="4">
        <f>Table1[[#This Row],[Bet Value]]+D60</f>
        <v>41733000</v>
      </c>
      <c r="E61" s="4">
        <f>339000+30000</f>
        <v>369000</v>
      </c>
      <c r="F61" s="4">
        <f>F60+Table1[[#This Row],[Change]]</f>
        <v>11558600</v>
      </c>
    </row>
    <row r="62" spans="1:6">
      <c r="A62" s="9">
        <v>42830</v>
      </c>
      <c r="B62" s="5" t="s">
        <v>61</v>
      </c>
      <c r="C62" s="4">
        <f>3*180000 + 3*60000 + 135000</f>
        <v>855000</v>
      </c>
      <c r="D62" s="4">
        <f>Table1[[#This Row],[Bet Value]]+D61</f>
        <v>42588000</v>
      </c>
      <c r="E62" s="4">
        <f>582750+55500</f>
        <v>638250</v>
      </c>
      <c r="F62" s="4">
        <f>F61+Table1[[#This Row],[Change]]</f>
        <v>12196850</v>
      </c>
    </row>
    <row r="63" spans="1:6">
      <c r="A63" s="9">
        <v>42834</v>
      </c>
      <c r="B63" s="5" t="s">
        <v>62</v>
      </c>
      <c r="C63" s="4">
        <f>4*180000 + 3*60000</f>
        <v>900000</v>
      </c>
      <c r="D63" s="4">
        <f>Table1[[#This Row],[Bet Value]]+D62</f>
        <v>43488000</v>
      </c>
      <c r="E63" s="4">
        <f>-222750+48000</f>
        <v>-174750</v>
      </c>
      <c r="F63" s="4">
        <f>F62+Table1[[#This Row],[Change]]</f>
        <v>12022100</v>
      </c>
    </row>
    <row r="64" spans="1:6">
      <c r="A64" s="9">
        <v>42837</v>
      </c>
      <c r="B64" s="5" t="s">
        <v>63</v>
      </c>
      <c r="C64" s="4">
        <f>3*180000 + 3*60000</f>
        <v>720000</v>
      </c>
      <c r="D64" s="4">
        <f>Table1[[#This Row],[Bet Value]]+D63</f>
        <v>44208000</v>
      </c>
      <c r="E64" s="4">
        <f>-396000+54000</f>
        <v>-342000</v>
      </c>
      <c r="F64" s="4">
        <f>F63+Table1[[#This Row],[Change]]</f>
        <v>11680100</v>
      </c>
    </row>
    <row r="65" spans="1:6">
      <c r="A65" s="9">
        <v>42842</v>
      </c>
      <c r="B65" s="5" t="s">
        <v>64</v>
      </c>
      <c r="C65" s="4">
        <f>4*180000 + 6*60000</f>
        <v>1080000</v>
      </c>
      <c r="D65" s="4">
        <f>Table1[[#This Row],[Bet Value]]+D64</f>
        <v>45288000</v>
      </c>
      <c r="E65" s="4">
        <f>-897750+90000</f>
        <v>-807750</v>
      </c>
      <c r="F65" s="4">
        <f>F64+Table1[[#This Row],[Change]]</f>
        <v>10872350</v>
      </c>
    </row>
    <row r="66" spans="1:6">
      <c r="A66" s="9">
        <v>42845</v>
      </c>
      <c r="B66" s="5" t="s">
        <v>65</v>
      </c>
      <c r="C66" s="4">
        <f>3*180000 + 1*60000</f>
        <v>600000</v>
      </c>
      <c r="D66" s="4">
        <f>Table1[[#This Row],[Bet Value]]+D65</f>
        <v>45888000</v>
      </c>
      <c r="E66" s="4">
        <f>-600000+60000</f>
        <v>-540000</v>
      </c>
      <c r="F66" s="4">
        <f>F65+Table1[[#This Row],[Change]]</f>
        <v>10332350</v>
      </c>
    </row>
    <row r="67" spans="1:6">
      <c r="A67" s="9">
        <v>42848</v>
      </c>
      <c r="B67" s="5" t="s">
        <v>18</v>
      </c>
      <c r="C67" s="4">
        <f>3*180000 + 4*60000</f>
        <v>780000</v>
      </c>
      <c r="D67" s="4">
        <f>Table1[[#This Row],[Bet Value]]+D66</f>
        <v>46668000</v>
      </c>
      <c r="E67" s="4">
        <f>-503250+60000</f>
        <v>-443250</v>
      </c>
      <c r="F67" s="4">
        <f>F66+Table1[[#This Row],[Change]]</f>
        <v>9889100</v>
      </c>
    </row>
    <row r="68" spans="1:6">
      <c r="A68" s="9">
        <v>42851</v>
      </c>
      <c r="B68" s="5" t="s">
        <v>19</v>
      </c>
      <c r="C68" s="4">
        <f>4*180000 + 3*60000</f>
        <v>900000</v>
      </c>
      <c r="D68" s="4">
        <f>Table1[[#This Row],[Bet Value]]+D67</f>
        <v>47568000</v>
      </c>
      <c r="E68" s="4">
        <f>616500+36000</f>
        <v>652500</v>
      </c>
      <c r="F68" s="4">
        <f>F67+Table1[[#This Row],[Change]]</f>
        <v>10541600</v>
      </c>
    </row>
    <row r="69" spans="1:6">
      <c r="A69" s="9">
        <v>42855</v>
      </c>
      <c r="B69" s="5" t="s">
        <v>20</v>
      </c>
      <c r="C69" s="4">
        <f>3*180000 + 2*60000</f>
        <v>660000</v>
      </c>
      <c r="D69" s="4">
        <f>Table1[[#This Row],[Bet Value]]+D68</f>
        <v>48228000</v>
      </c>
      <c r="E69" s="4">
        <f>-660000+66000</f>
        <v>-594000</v>
      </c>
      <c r="F69" s="4">
        <f>F68+Table1[[#This Row],[Change]]</f>
        <v>9947600</v>
      </c>
    </row>
    <row r="70" spans="1:6">
      <c r="A70" s="9">
        <v>42858</v>
      </c>
      <c r="B70" s="5" t="s">
        <v>17</v>
      </c>
      <c r="C70" s="4">
        <f>3*180000 + 3*60000</f>
        <v>720000</v>
      </c>
      <c r="D70" s="4">
        <f>Table1[[#This Row],[Bet Value]]+D69</f>
        <v>48948000</v>
      </c>
      <c r="E70" s="4">
        <f>-164250+54000</f>
        <v>-110250</v>
      </c>
      <c r="F70" s="4">
        <f>F69+Table1[[#This Row],[Change]]</f>
        <v>9837350</v>
      </c>
    </row>
    <row r="71" spans="1:6">
      <c r="A71" s="9">
        <v>42862</v>
      </c>
      <c r="B71" s="5" t="s">
        <v>12</v>
      </c>
      <c r="C71" s="4">
        <f>4*180000 + 4*60000</f>
        <v>960000</v>
      </c>
      <c r="D71" s="4">
        <f>Table1[[#This Row],[Bet Value]]+D70</f>
        <v>49908000</v>
      </c>
      <c r="E71" s="4">
        <f>-613500+78000</f>
        <v>-535500</v>
      </c>
      <c r="F71" s="4">
        <f>F70+Table1[[#This Row],[Change]]</f>
        <v>9301850</v>
      </c>
    </row>
    <row r="72" spans="1:6">
      <c r="A72" s="9">
        <v>42865</v>
      </c>
      <c r="B72" s="5" t="s">
        <v>66</v>
      </c>
      <c r="C72" s="4">
        <f>2*180000 + 1*60000</f>
        <v>420000</v>
      </c>
      <c r="D72" s="4">
        <f>Table1[[#This Row],[Bet Value]]+D71</f>
        <v>50328000</v>
      </c>
      <c r="E72" s="4">
        <f>-150000+24000</f>
        <v>-126000</v>
      </c>
      <c r="F72" s="4">
        <f>F71+Table1[[#This Row],[Change]]</f>
        <v>9175850</v>
      </c>
    </row>
    <row r="73" spans="1:6">
      <c r="A73" s="9">
        <v>42868</v>
      </c>
      <c r="B73" s="5" t="s">
        <v>10</v>
      </c>
      <c r="C73" s="4">
        <f>4*180000 + 3*60000</f>
        <v>900000</v>
      </c>
      <c r="D73" s="4">
        <f>Table1[[#This Row],[Bet Value]]+D72</f>
        <v>51228000</v>
      </c>
      <c r="E73" s="4">
        <f>-112500+48000</f>
        <v>-64500</v>
      </c>
      <c r="F73" s="4">
        <f>F72+Table1[[#This Row],[Change]]</f>
        <v>9111350</v>
      </c>
    </row>
    <row r="74" spans="1:6">
      <c r="A74" s="9">
        <v>42872</v>
      </c>
      <c r="B74" s="5" t="s">
        <v>17</v>
      </c>
      <c r="C74" s="4">
        <f>3*180000 + 3*60000</f>
        <v>720000</v>
      </c>
      <c r="D74" s="4">
        <f>Table1[[#This Row],[Bet Value]]+D73</f>
        <v>51948000</v>
      </c>
      <c r="E74" s="4">
        <f>-443250+54000</f>
        <v>-389250</v>
      </c>
      <c r="F74" s="4">
        <f>F73+Table1[[#This Row],[Change]]</f>
        <v>8722100</v>
      </c>
    </row>
    <row r="75" spans="1:6">
      <c r="A75" s="9">
        <v>42876</v>
      </c>
      <c r="B75" s="5" t="s">
        <v>13</v>
      </c>
      <c r="C75" s="4">
        <f>5*180000 + 3*60000</f>
        <v>1080000</v>
      </c>
      <c r="D75" s="4">
        <f>Table1[[#This Row],[Bet Value]]+D74</f>
        <v>53028000</v>
      </c>
      <c r="E75" s="4">
        <f>-891000+90000</f>
        <v>-801000</v>
      </c>
      <c r="F75" s="4">
        <f>F74+Table1[[#This Row],[Change]]</f>
        <v>7921100</v>
      </c>
    </row>
    <row r="76" spans="1:6">
      <c r="A76" s="9">
        <v>42879</v>
      </c>
      <c r="B76" s="5" t="s">
        <v>67</v>
      </c>
      <c r="C76" s="4">
        <f>1*180000 + 1*60000</f>
        <v>240000</v>
      </c>
      <c r="D76" s="4">
        <f>Table1[[#This Row],[Bet Value]]+D75</f>
        <v>53268000</v>
      </c>
      <c r="E76" s="4">
        <f>-240000+24000</f>
        <v>-216000</v>
      </c>
      <c r="F76" s="4">
        <f>F75+Table1[[#This Row],[Change]]</f>
        <v>7705100</v>
      </c>
    </row>
    <row r="77" spans="1:6">
      <c r="A77" s="9">
        <v>42883</v>
      </c>
      <c r="B77" s="5" t="s">
        <v>20</v>
      </c>
      <c r="C77" s="4">
        <f>3*180000 + 2*60000</f>
        <v>660000</v>
      </c>
      <c r="D77" s="4">
        <f>Table1[[#This Row],[Bet Value]]+D76</f>
        <v>53928000</v>
      </c>
      <c r="E77" s="4">
        <f>-660000+66000</f>
        <v>-594000</v>
      </c>
      <c r="F77" s="4">
        <f>F76+Table1[[#This Row],[Change]]</f>
        <v>7111100</v>
      </c>
    </row>
    <row r="78" spans="1:6">
      <c r="A78" s="9">
        <v>42886</v>
      </c>
      <c r="B78" s="5" t="s">
        <v>68</v>
      </c>
      <c r="C78" s="4">
        <f>5*180000 + 1*60000</f>
        <v>960000</v>
      </c>
      <c r="D78" s="4">
        <f>Table1[[#This Row],[Bet Value]]+D77</f>
        <v>54888000</v>
      </c>
      <c r="E78" s="4">
        <f>32250+60000</f>
        <v>92250</v>
      </c>
      <c r="F78" s="4">
        <f>F77+Table1[[#This Row],[Change]]</f>
        <v>7203350</v>
      </c>
    </row>
    <row r="79" spans="1:6">
      <c r="A79" s="9">
        <v>42890</v>
      </c>
      <c r="B79" s="5" t="s">
        <v>69</v>
      </c>
      <c r="C79" s="4">
        <f>1*180000 + 0*60000</f>
        <v>180000</v>
      </c>
      <c r="D79" s="4">
        <f>Table1[[#This Row],[Bet Value]]+D78</f>
        <v>55068000</v>
      </c>
      <c r="E79" s="4">
        <f>110250+0</f>
        <v>110250</v>
      </c>
      <c r="F79" s="4">
        <f>F78+Table1[[#This Row],[Change]]</f>
        <v>7313600</v>
      </c>
    </row>
    <row r="80" spans="1:6">
      <c r="A80" s="9">
        <v>42893</v>
      </c>
      <c r="B80" s="5" t="s">
        <v>66</v>
      </c>
      <c r="C80" s="4">
        <f>2*180000 + 1*60000</f>
        <v>420000</v>
      </c>
      <c r="D80" s="4">
        <f>Table1[[#This Row],[Bet Value]]+D79</f>
        <v>55488000</v>
      </c>
      <c r="E80" s="4">
        <f>-203250+30000</f>
        <v>-173250</v>
      </c>
      <c r="F80" s="4">
        <f>F79+Table1[[#This Row],[Change]]</f>
        <v>7140350</v>
      </c>
    </row>
    <row r="81" spans="1:6">
      <c r="A81" s="9">
        <v>42897</v>
      </c>
      <c r="B81" s="5" t="s">
        <v>20</v>
      </c>
      <c r="C81" s="4">
        <f>3*180000 + 4*60000</f>
        <v>780000</v>
      </c>
      <c r="D81" s="4">
        <f>Table1[[#This Row],[Bet Value]]+D80</f>
        <v>56268000</v>
      </c>
      <c r="E81" s="4">
        <f>-780000+78000</f>
        <v>-702000</v>
      </c>
      <c r="F81" s="4">
        <f>F80+Table1[[#This Row],[Change]]</f>
        <v>6438350</v>
      </c>
    </row>
    <row r="82" spans="1:6">
      <c r="A82" s="9">
        <v>42900</v>
      </c>
      <c r="B82" s="5" t="s">
        <v>20</v>
      </c>
      <c r="C82" s="4">
        <f>3*180000 + 0*60000</f>
        <v>540000</v>
      </c>
      <c r="D82" s="4">
        <f>Table1[[#This Row],[Bet Value]]+D81</f>
        <v>56808000</v>
      </c>
      <c r="E82" s="4">
        <f>-540000+54000</f>
        <v>-486000</v>
      </c>
      <c r="F82" s="4">
        <f>F81+Table1[[#This Row],[Change]]</f>
        <v>5952350</v>
      </c>
    </row>
    <row r="83" spans="1:6">
      <c r="A83" s="9">
        <v>42904</v>
      </c>
      <c r="B83" s="5" t="s">
        <v>9</v>
      </c>
      <c r="C83" s="4">
        <f>2*180000 + 3*60000</f>
        <v>540000</v>
      </c>
      <c r="D83" s="4">
        <f>Table1[[#This Row],[Bet Value]]+D82</f>
        <v>57348000</v>
      </c>
      <c r="E83" s="4">
        <f>-540000+54000</f>
        <v>-486000</v>
      </c>
      <c r="F83" s="4">
        <f>F82+Table1[[#This Row],[Change]]</f>
        <v>5466350</v>
      </c>
    </row>
    <row r="84" spans="1:6">
      <c r="A84" s="9">
        <v>42907</v>
      </c>
      <c r="B84" s="5" t="s">
        <v>70</v>
      </c>
      <c r="C84" s="4">
        <f>2*180000 + 0*60000</f>
        <v>360000</v>
      </c>
      <c r="D84" s="4">
        <f>Table1[[#This Row],[Bet Value]]+D83</f>
        <v>57708000</v>
      </c>
      <c r="E84" s="4">
        <f>58500+0</f>
        <v>58500</v>
      </c>
      <c r="F84" s="4">
        <f>F83+Table1[[#This Row],[Change]]</f>
        <v>5524850</v>
      </c>
    </row>
    <row r="85" spans="1:6">
      <c r="A85" s="9">
        <v>42911</v>
      </c>
      <c r="B85" s="5" t="s">
        <v>16</v>
      </c>
      <c r="C85" s="4">
        <f>2*180000 + 0*60000</f>
        <v>360000</v>
      </c>
      <c r="D85" s="4">
        <f>Table1[[#This Row],[Bet Value]]+D84</f>
        <v>58068000</v>
      </c>
      <c r="E85" s="4">
        <f>69750+18000</f>
        <v>87750</v>
      </c>
      <c r="F85" s="4">
        <f>F84+Table1[[#This Row],[Change]]</f>
        <v>5612600</v>
      </c>
    </row>
    <row r="86" spans="1:6">
      <c r="A86" s="9">
        <v>42914</v>
      </c>
      <c r="B86" s="5" t="s">
        <v>9</v>
      </c>
      <c r="C86" s="4">
        <f>2*180000 + 1*60000</f>
        <v>420000</v>
      </c>
      <c r="D86" s="4">
        <f>Table1[[#This Row],[Bet Value]]+D85</f>
        <v>58488000</v>
      </c>
      <c r="E86" s="4">
        <f>-420000+42000</f>
        <v>-378000</v>
      </c>
      <c r="F86" s="4">
        <f>F85+Table1[[#This Row],[Change]]</f>
        <v>5234600</v>
      </c>
    </row>
    <row r="87" spans="1:6">
      <c r="A87" s="9">
        <v>42917</v>
      </c>
      <c r="B87" s="5" t="s">
        <v>20</v>
      </c>
      <c r="C87" s="4">
        <f>3*180000 + 2*60000</f>
        <v>660000</v>
      </c>
      <c r="D87" s="4">
        <f>Table1[[#This Row],[Bet Value]]+D86</f>
        <v>59148000</v>
      </c>
      <c r="E87" s="4">
        <f>-660000+66000</f>
        <v>-594000</v>
      </c>
      <c r="F87" s="4">
        <f>F86+Table1[[#This Row],[Change]]</f>
        <v>4640600</v>
      </c>
    </row>
    <row r="88" spans="1:6">
      <c r="A88" s="9">
        <v>42925</v>
      </c>
      <c r="B88" s="5" t="s">
        <v>71</v>
      </c>
      <c r="C88" s="4">
        <f>6*180000</f>
        <v>1080000</v>
      </c>
      <c r="D88" s="4">
        <f>Table1[[#This Row],[Bet Value]]+D87</f>
        <v>60228000</v>
      </c>
      <c r="E88" s="4">
        <f>542250+18000</f>
        <v>560250</v>
      </c>
      <c r="F88" s="4">
        <f>F87+Table1[[#This Row],[Change]]</f>
        <v>5200850</v>
      </c>
    </row>
    <row r="89" spans="1:6">
      <c r="A89" s="9">
        <v>42928</v>
      </c>
      <c r="B89" s="5" t="s">
        <v>13</v>
      </c>
      <c r="C89" s="4">
        <f>5*180000 + 2*60000</f>
        <v>1020000</v>
      </c>
      <c r="D89" s="4">
        <f>Table1[[#This Row],[Bet Value]]+D88</f>
        <v>61248000</v>
      </c>
      <c r="E89" s="4">
        <f>-777000+84000</f>
        <v>-693000</v>
      </c>
      <c r="F89" s="4">
        <f>F88+Table1[[#This Row],[Change]]</f>
        <v>4507850</v>
      </c>
    </row>
    <row r="90" spans="1:6">
      <c r="A90" s="9">
        <v>42932</v>
      </c>
      <c r="B90" s="5" t="s">
        <v>72</v>
      </c>
      <c r="C90" s="4">
        <f>6*180000 + 3*60000</f>
        <v>1260000</v>
      </c>
      <c r="D90" s="4">
        <f>Table1[[#This Row],[Bet Value]]+D89</f>
        <v>62508000</v>
      </c>
      <c r="E90" s="4">
        <f>-247500+66000</f>
        <v>-181500</v>
      </c>
      <c r="F90" s="4">
        <f>F89+Table1[[#This Row],[Change]]</f>
        <v>4326350</v>
      </c>
    </row>
  </sheetData>
  <phoneticPr fontId="2" type="noConversion"/>
  <pageMargins left="0.7" right="0.7" top="0.75" bottom="0.75" header="0.3" footer="0.3"/>
  <pageSetup paperSize="9" orientation="portrait" r:id="rId1"/>
  <ignoredErrors>
    <ignoredError sqref="D43" calculatedColumn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2017-07-16T17:10:05Z</dcterms:modified>
</cp:coreProperties>
</file>