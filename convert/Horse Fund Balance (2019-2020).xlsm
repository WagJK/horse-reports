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245" documentId="6_{CC6BB569-F454-4A10-8C0D-2623DF155D4C}" xr6:coauthVersionLast="45" xr6:coauthVersionMax="45" xr10:uidLastSave="{A43F3C8D-2AEF-4648-9289-F513C85AD8B6}"/>
  <bookViews>
    <workbookView xWindow="-120" yWindow="-120" windowWidth="518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78" i="1"/>
  <c r="C78" i="1"/>
  <c r="E77" i="1" l="1"/>
  <c r="C77" i="1"/>
  <c r="C76" i="1" l="1"/>
  <c r="E76" i="1"/>
  <c r="C75" i="1" l="1"/>
  <c r="E75" i="1"/>
  <c r="E74" i="1" l="1"/>
  <c r="C74" i="1"/>
  <c r="C73" i="1" l="1"/>
  <c r="E73" i="1"/>
  <c r="E72" i="1" l="1"/>
  <c r="C72" i="1"/>
  <c r="E71" i="1" l="1"/>
  <c r="C71" i="1"/>
  <c r="C70" i="1" l="1"/>
  <c r="E70" i="1"/>
  <c r="E69" i="1" l="1"/>
  <c r="C69" i="1"/>
  <c r="E68" i="1" l="1"/>
  <c r="C68" i="1"/>
  <c r="E67" i="1" l="1"/>
  <c r="C67" i="1"/>
  <c r="C66" i="1" l="1"/>
  <c r="E66" i="1"/>
  <c r="C65" i="1" l="1"/>
  <c r="E65" i="1"/>
  <c r="E64" i="1" l="1"/>
  <c r="C64" i="1"/>
  <c r="E63" i="1" l="1"/>
  <c r="C63" i="1"/>
  <c r="C62" i="1" l="1"/>
  <c r="E62" i="1"/>
  <c r="E61" i="1" l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  <c r="F78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<sst xmlns="http://schemas.openxmlformats.org/spreadsheetml/2006/main" count="88" uniqueCount="14">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</sst>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Fund!$A$2:$A$78</c:f>
              <c:strCache>
                <c:ptCount val="77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  <c:pt idx="60">
                  <c:v>2020/4/8</c:v>
                </c:pt>
                <c:pt idx="61">
                  <c:v>2020/4/12</c:v>
                </c:pt>
                <c:pt idx="62">
                  <c:v>2020/4/15</c:v>
                </c:pt>
                <c:pt idx="63">
                  <c:v>2020/4/19</c:v>
                </c:pt>
                <c:pt idx="64">
                  <c:v>2020/4/22</c:v>
                </c:pt>
                <c:pt idx="65">
                  <c:v>2020/4/26</c:v>
                </c:pt>
                <c:pt idx="66">
                  <c:v>2020/4/29</c:v>
                </c:pt>
                <c:pt idx="67">
                  <c:v>2020/5/3</c:v>
                </c:pt>
                <c:pt idx="68">
                  <c:v>2020/5/6</c:v>
                </c:pt>
                <c:pt idx="69">
                  <c:v>2020/5/9</c:v>
                </c:pt>
                <c:pt idx="70">
                  <c:v>2020/5/13</c:v>
                </c:pt>
                <c:pt idx="71">
                  <c:v>2020/5/17</c:v>
                </c:pt>
                <c:pt idx="72">
                  <c:v>2020/5/20</c:v>
                </c:pt>
                <c:pt idx="73">
                  <c:v>2020/5/24</c:v>
                </c:pt>
                <c:pt idx="74">
                  <c:v>2020/5/27</c:v>
                </c:pt>
                <c:pt idx="75">
                  <c:v>2020/5/31</c:v>
                </c:pt>
                <c:pt idx="76">
                  <c:v>2020/6/3</c:v>
                </c:pt>
              </c:strCache>
            </c:strRef>
          </c:cat>
          <c:val>
            <c:numRef>
              <c:f>Fund!$F$2:$F$78</c:f>
              <c:numCache>
                <c:formatCode>"HK$"#,##0.00_);[Red]\("HK$"#,##0.00\)</c:formatCode>
                <c:ptCount val="77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  <c:pt idx="60">
                  <c:v>-4398000</c:v>
                </c:pt>
                <c:pt idx="61">
                  <c:v>-4269000</c:v>
                </c:pt>
                <c:pt idx="62">
                  <c:v>-4485000</c:v>
                </c:pt>
                <c:pt idx="63">
                  <c:v>-4701000</c:v>
                </c:pt>
                <c:pt idx="64">
                  <c:v>-4917000</c:v>
                </c:pt>
                <c:pt idx="65">
                  <c:v>-4323000</c:v>
                </c:pt>
                <c:pt idx="66">
                  <c:v>-4323000</c:v>
                </c:pt>
                <c:pt idx="67">
                  <c:v>-4311000</c:v>
                </c:pt>
                <c:pt idx="68">
                  <c:v>-4527000</c:v>
                </c:pt>
                <c:pt idx="69">
                  <c:v>-4527000</c:v>
                </c:pt>
                <c:pt idx="70">
                  <c:v>-4743000</c:v>
                </c:pt>
                <c:pt idx="71">
                  <c:v>-4959000</c:v>
                </c:pt>
                <c:pt idx="72">
                  <c:v>-4959000</c:v>
                </c:pt>
                <c:pt idx="73">
                  <c:v>-4959000</c:v>
                </c:pt>
                <c:pt idx="74">
                  <c:v>-4959000</c:v>
                </c:pt>
                <c:pt idx="75">
                  <c:v>-5175000</c:v>
                </c:pt>
                <c:pt idx="76">
                  <c:v>-5175000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78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D3DAE3"/>
      </a:dk1>
      <a:lt1>
        <a:sysClr val="window" lastClr="404552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8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F78</f>
        <v>-5175000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  <row r="62" spans="1:6">
      <c r="A62" s="6">
        <v>43929</v>
      </c>
      <c r="B62" s="2" t="s">
        <v>4</v>
      </c>
      <c r="C62" s="1">
        <f>0*240000+0*80000</f>
        <v>0</v>
      </c>
      <c r="D62" s="1">
        <f>Table1[[#This Row],[Bet Value]] + D61</f>
        <v>11120000</v>
      </c>
      <c r="E62" s="1">
        <f>0</f>
        <v>0</v>
      </c>
      <c r="F62" s="1">
        <f>F61+Table1[[#This Row],[Change]]</f>
        <v>-4398000</v>
      </c>
    </row>
    <row r="63" spans="1:6">
      <c r="A63" s="6">
        <v>43933</v>
      </c>
      <c r="B63" s="2" t="s">
        <v>9</v>
      </c>
      <c r="C63" s="1">
        <f>1*240000+0*80000</f>
        <v>240000</v>
      </c>
      <c r="D63" s="1">
        <f>Table1[[#This Row],[Bet Value]] + D62</f>
        <v>11360000</v>
      </c>
      <c r="E63" s="1">
        <f>129000</f>
        <v>129000</v>
      </c>
      <c r="F63" s="1">
        <f>F62+Table1[[#This Row],[Change]]</f>
        <v>-4269000</v>
      </c>
    </row>
    <row r="64" spans="1:6">
      <c r="A64" s="6">
        <v>43936</v>
      </c>
      <c r="B64" s="2" t="s">
        <v>8</v>
      </c>
      <c r="C64" s="1">
        <f>1*240000+0*80000</f>
        <v>240000</v>
      </c>
      <c r="D64" s="1">
        <f>Table1[[#This Row],[Bet Value]] + D63</f>
        <v>11600000</v>
      </c>
      <c r="E64" s="1">
        <f>-240000+24000</f>
        <v>-216000</v>
      </c>
      <c r="F64" s="1">
        <f>F63+Table1[[#This Row],[Change]]</f>
        <v>-4485000</v>
      </c>
    </row>
    <row r="65" spans="1:6">
      <c r="A65" s="6">
        <v>43940</v>
      </c>
      <c r="B65" s="2" t="s">
        <v>8</v>
      </c>
      <c r="C65" s="1">
        <f>1*240000+0*80000</f>
        <v>240000</v>
      </c>
      <c r="D65" s="1">
        <f>Table1[[#This Row],[Bet Value]] + D64</f>
        <v>11840000</v>
      </c>
      <c r="E65" s="1">
        <f>-240000+24000</f>
        <v>-216000</v>
      </c>
      <c r="F65" s="1">
        <f>F64+Table1[[#This Row],[Change]]</f>
        <v>-4701000</v>
      </c>
    </row>
    <row r="66" spans="1:6">
      <c r="A66" s="6">
        <v>43943</v>
      </c>
      <c r="B66" s="2" t="s">
        <v>8</v>
      </c>
      <c r="C66" s="1">
        <f>1*240000+0*80000</f>
        <v>240000</v>
      </c>
      <c r="D66" s="1">
        <f>Table1[[#This Row],[Bet Value]] + D65</f>
        <v>12080000</v>
      </c>
      <c r="E66" s="1">
        <f>-240000+24000</f>
        <v>-216000</v>
      </c>
      <c r="F66" s="1">
        <f>F65+Table1[[#This Row],[Change]]</f>
        <v>-4917000</v>
      </c>
    </row>
    <row r="67" spans="1:6">
      <c r="A67" s="6">
        <v>43947</v>
      </c>
      <c r="B67" s="2" t="s">
        <v>13</v>
      </c>
      <c r="C67" s="1">
        <f>1*240000+0*80000</f>
        <v>240000</v>
      </c>
      <c r="D67" s="1">
        <f>Table1[[#This Row],[Bet Value]] + D66</f>
        <v>12320000</v>
      </c>
      <c r="E67" s="1">
        <f>594000+0</f>
        <v>594000</v>
      </c>
      <c r="F67" s="1">
        <f>F66+Table1[[#This Row],[Change]]</f>
        <v>-4323000</v>
      </c>
    </row>
    <row r="68" spans="1:6">
      <c r="A68" s="6">
        <v>43950</v>
      </c>
      <c r="B68" s="2" t="s">
        <v>4</v>
      </c>
      <c r="C68" s="1">
        <f>0*240000+0*80000</f>
        <v>0</v>
      </c>
      <c r="D68" s="1">
        <f>Table1[[#This Row],[Bet Value]] + D67</f>
        <v>12320000</v>
      </c>
      <c r="E68" s="1">
        <f>0+0</f>
        <v>0</v>
      </c>
      <c r="F68" s="1">
        <f>F67+Table1[[#This Row],[Change]]</f>
        <v>-4323000</v>
      </c>
    </row>
    <row r="69" spans="1:6">
      <c r="A69" s="6">
        <v>43954</v>
      </c>
      <c r="B69" s="2" t="s">
        <v>11</v>
      </c>
      <c r="C69" s="1">
        <f>2*240000+0*80000</f>
        <v>480000</v>
      </c>
      <c r="D69" s="1">
        <f>Table1[[#This Row],[Bet Value]] + D68</f>
        <v>12800000</v>
      </c>
      <c r="E69" s="1">
        <f>-12000+24000</f>
        <v>12000</v>
      </c>
      <c r="F69" s="1">
        <f>F68+Table1[[#This Row],[Change]]</f>
        <v>-4311000</v>
      </c>
    </row>
    <row r="70" spans="1:6">
      <c r="A70" s="6">
        <v>43957</v>
      </c>
      <c r="B70" s="2" t="s">
        <v>8</v>
      </c>
      <c r="C70" s="1">
        <f>1*240000+0*80000</f>
        <v>240000</v>
      </c>
      <c r="D70" s="1">
        <f>Table1[[#This Row],[Bet Value]] + D69</f>
        <v>13040000</v>
      </c>
      <c r="E70" s="1">
        <f>-240000+24000</f>
        <v>-216000</v>
      </c>
      <c r="F70" s="1">
        <f>F69+Table1[[#This Row],[Change]]</f>
        <v>-4527000</v>
      </c>
    </row>
    <row r="71" spans="1:6">
      <c r="A71" s="6">
        <v>43960</v>
      </c>
      <c r="B71" s="2" t="s">
        <v>4</v>
      </c>
      <c r="C71" s="1">
        <f>0*240000+0*80000</f>
        <v>0</v>
      </c>
      <c r="D71" s="1">
        <f>Table1[[#This Row],[Bet Value]] + D70</f>
        <v>13040000</v>
      </c>
      <c r="E71" s="1">
        <f>0</f>
        <v>0</v>
      </c>
      <c r="F71" s="1">
        <f>F70+Table1[[#This Row],[Change]]</f>
        <v>-4527000</v>
      </c>
    </row>
    <row r="72" spans="1:6">
      <c r="A72" s="6">
        <v>43964</v>
      </c>
      <c r="B72" s="2" t="s">
        <v>8</v>
      </c>
      <c r="C72" s="1">
        <f>1*240000+0*80000</f>
        <v>240000</v>
      </c>
      <c r="D72" s="1">
        <f>Table1[[#This Row],[Bet Value]] + D71</f>
        <v>13280000</v>
      </c>
      <c r="E72" s="1">
        <f>-240000+24000</f>
        <v>-216000</v>
      </c>
      <c r="F72" s="1">
        <f>F71+Table1[[#This Row],[Change]]</f>
        <v>-4743000</v>
      </c>
    </row>
    <row r="73" spans="1:6">
      <c r="A73" s="6">
        <v>43968</v>
      </c>
      <c r="B73" s="2" t="s">
        <v>8</v>
      </c>
      <c r="C73" s="1">
        <f>1*240000+0*80000</f>
        <v>240000</v>
      </c>
      <c r="D73" s="1">
        <f>Table1[[#This Row],[Bet Value]] + D72</f>
        <v>13520000</v>
      </c>
      <c r="E73" s="1">
        <f>-240000+24000</f>
        <v>-216000</v>
      </c>
      <c r="F73" s="1">
        <f>F72+Table1[[#This Row],[Change]]</f>
        <v>-4959000</v>
      </c>
    </row>
    <row r="74" spans="1:6">
      <c r="A74" s="6">
        <v>43971</v>
      </c>
      <c r="B74" s="2" t="s">
        <v>4</v>
      </c>
      <c r="C74" s="1">
        <f>0*240000+0*80000</f>
        <v>0</v>
      </c>
      <c r="D74" s="1">
        <f>Table1[[#This Row],[Bet Value]] + D73</f>
        <v>13520000</v>
      </c>
      <c r="E74" s="1">
        <f>0</f>
        <v>0</v>
      </c>
      <c r="F74" s="1">
        <f>F73+Table1[[#This Row],[Change]]</f>
        <v>-4959000</v>
      </c>
    </row>
    <row r="75" spans="1:6">
      <c r="A75" s="6">
        <v>43975</v>
      </c>
      <c r="B75" s="2" t="s">
        <v>4</v>
      </c>
      <c r="C75" s="1">
        <f>0*240000+0*80000</f>
        <v>0</v>
      </c>
      <c r="D75" s="1">
        <f>Table1[[#This Row],[Bet Value]] + D74</f>
        <v>13520000</v>
      </c>
      <c r="E75" s="1">
        <f>0</f>
        <v>0</v>
      </c>
      <c r="F75" s="1">
        <f>F74+Table1[[#This Row],[Change]]</f>
        <v>-4959000</v>
      </c>
    </row>
    <row r="76" spans="1:6">
      <c r="A76" s="6">
        <v>43978</v>
      </c>
      <c r="B76" s="2" t="s">
        <v>4</v>
      </c>
      <c r="C76" s="1">
        <f>0*240000+0*80000</f>
        <v>0</v>
      </c>
      <c r="D76" s="1">
        <f>Table1[[#This Row],[Bet Value]] + D75</f>
        <v>13520000</v>
      </c>
      <c r="E76" s="1">
        <f>0</f>
        <v>0</v>
      </c>
      <c r="F76" s="1">
        <f>F75+Table1[[#This Row],[Change]]</f>
        <v>-4959000</v>
      </c>
    </row>
    <row r="77" spans="1:6">
      <c r="A77" s="6">
        <v>43982</v>
      </c>
      <c r="B77" s="2" t="s">
        <v>8</v>
      </c>
      <c r="C77" s="1">
        <f>1*240000+0*80000</f>
        <v>240000</v>
      </c>
      <c r="D77" s="1">
        <f>Table1[[#This Row],[Bet Value]] + D76</f>
        <v>13760000</v>
      </c>
      <c r="E77" s="1">
        <f>-240000+24000</f>
        <v>-216000</v>
      </c>
      <c r="F77" s="1">
        <f>F76+Table1[[#This Row],[Change]]</f>
        <v>-5175000</v>
      </c>
    </row>
    <row r="78" spans="1:6">
      <c r="A78" s="6">
        <v>43985</v>
      </c>
      <c r="B78" s="2" t="s">
        <v>4</v>
      </c>
      <c r="C78" s="1">
        <f>0*240000+0*80000</f>
        <v>0</v>
      </c>
      <c r="D78" s="1">
        <f>Table1[[#This Row],[Bet Value]] + D77</f>
        <v>13760000</v>
      </c>
      <c r="E78" s="1">
        <f>0</f>
        <v>0</v>
      </c>
      <c r="F78" s="1">
        <f>F77+Table1[[#This Row],[Change]]</f>
        <v>-5175000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2020-06-04T09:20:12Z</dcterms:modified>
</cp:coreProperties>
</file>