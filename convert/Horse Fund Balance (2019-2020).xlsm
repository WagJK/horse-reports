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430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OneDrive\桌面\horse-reports\convert\"/>
    </mc:Choice>
  </mc:AlternateContent>
  <xr:revisionPtr revIDLastSave="73" documentId="6_{CC6BB569-F454-4A10-8C0D-2623DF155D4C}" xr6:coauthVersionLast="45" xr6:coauthVersionMax="45" xr10:uidLastSave="{1022483D-B596-45D8-AB38-7E18D5AF535E}"/>
  <bookViews>
    <workbookView xWindow="5070" yWindow="5070" windowWidth="38700" windowHeight="15435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E46" i="1"/>
  <c r="C46" i="1"/>
  <c r="E45" i="1" l="1"/>
  <c r="C45" i="1"/>
  <c r="C44" i="1" l="1"/>
  <c r="E44" i="1"/>
  <c r="C43" i="1" l="1"/>
  <c r="E43" i="1"/>
  <c r="C42" i="1" l="1"/>
  <c r="E42" i="1"/>
  <c r="E41" i="1" l="1"/>
  <c r="C41" i="1"/>
  <c r="E40" i="1" l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s="1"/>
  <c r="F44" i="1" l="1"/>
  <c r="F45" i="1" l="1"/>
  <c r="F46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<sst xmlns="http://schemas.openxmlformats.org/spreadsheetml/2006/main" count="56" uniqueCount="13">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</sst>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Fund!$A$2:$A$46</c:f>
              <c:strCache>
                <c:ptCount val="45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  <c:pt idx="39">
                  <c:v>2020/1/27</c:v>
                </c:pt>
                <c:pt idx="40">
                  <c:v>2020/1/29</c:v>
                </c:pt>
                <c:pt idx="41">
                  <c:v>2020/2/2</c:v>
                </c:pt>
                <c:pt idx="42">
                  <c:v>2020/2/5</c:v>
                </c:pt>
                <c:pt idx="43">
                  <c:v>2020/2/8</c:v>
                </c:pt>
                <c:pt idx="44">
                  <c:v>2020/2/12</c:v>
                </c:pt>
              </c:strCache>
            </c:strRef>
          </c:cat>
          <c:val>
            <c:numRef>
              <c:f>Fund!$F$2:$F$46</c:f>
              <c:numCache>
                <c:formatCode>"HK$"#,##0.00_);[Red]\("HK$"#,##0.00\)</c:formatCode>
                <c:ptCount val="45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  <c:pt idx="39">
                  <c:v>-3867000</c:v>
                </c:pt>
                <c:pt idx="40">
                  <c:v>-3867000</c:v>
                </c:pt>
                <c:pt idx="41">
                  <c:v>-3867000</c:v>
                </c:pt>
                <c:pt idx="42">
                  <c:v>-3867000</c:v>
                </c:pt>
                <c:pt idx="43">
                  <c:v>-4155000</c:v>
                </c:pt>
                <c:pt idx="44">
                  <c:v>-4371000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46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46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F46</f>
        <v>-4371000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  <row r="41" spans="1:6">
      <c r="A41" s="6">
        <v>43857</v>
      </c>
      <c r="B41" s="2" t="s">
        <v>4</v>
      </c>
      <c r="C41" s="1">
        <f>0*240000+0*80000</f>
        <v>0</v>
      </c>
      <c r="D41" s="1">
        <f>Table1[[#This Row],[Bet Value]] + D40</f>
        <v>7920000</v>
      </c>
      <c r="E41" s="1">
        <f>0+0</f>
        <v>0</v>
      </c>
      <c r="F41" s="1">
        <f>F40+Table1[[#This Row],[Change]]</f>
        <v>-3867000</v>
      </c>
    </row>
    <row r="42" spans="1:6">
      <c r="A42" s="6">
        <v>43859</v>
      </c>
      <c r="B42" s="2" t="s">
        <v>4</v>
      </c>
      <c r="C42" s="1">
        <f>0*240000+0*80000</f>
        <v>0</v>
      </c>
      <c r="D42" s="1">
        <f>Table1[[#This Row],[Bet Value]] + D41</f>
        <v>7920000</v>
      </c>
      <c r="E42" s="1">
        <f>0+0</f>
        <v>0</v>
      </c>
      <c r="F42" s="1">
        <f>F41+Table1[[#This Row],[Change]]</f>
        <v>-3867000</v>
      </c>
    </row>
    <row r="43" spans="1:6">
      <c r="A43" s="6">
        <v>43863</v>
      </c>
      <c r="B43" s="2" t="s">
        <v>4</v>
      </c>
      <c r="C43" s="1">
        <f>0*240000+0*80000</f>
        <v>0</v>
      </c>
      <c r="D43" s="1">
        <f>Table1[[#This Row],[Bet Value]] + D42</f>
        <v>7920000</v>
      </c>
      <c r="E43" s="1">
        <f>0+0</f>
        <v>0</v>
      </c>
      <c r="F43" s="1">
        <f>F42+Table1[[#This Row],[Change]]</f>
        <v>-3867000</v>
      </c>
    </row>
    <row r="44" spans="1:6">
      <c r="A44" s="6">
        <v>43866</v>
      </c>
      <c r="B44" s="2" t="s">
        <v>4</v>
      </c>
      <c r="C44" s="1">
        <f>0*240000+0*80000</f>
        <v>0</v>
      </c>
      <c r="D44" s="1">
        <f>Table1[[#This Row],[Bet Value]] + D43</f>
        <v>7920000</v>
      </c>
      <c r="E44" s="1">
        <f>0+0</f>
        <v>0</v>
      </c>
      <c r="F44" s="1">
        <f>F43+Table1[[#This Row],[Change]]</f>
        <v>-3867000</v>
      </c>
    </row>
    <row r="45" spans="1:6">
      <c r="A45" s="6">
        <v>43869</v>
      </c>
      <c r="B45" s="2" t="s">
        <v>8</v>
      </c>
      <c r="C45" s="1">
        <f>1*240000+1*80000</f>
        <v>320000</v>
      </c>
      <c r="D45" s="1">
        <f>Table1[[#This Row],[Bet Value]] + D44</f>
        <v>8240000</v>
      </c>
      <c r="E45" s="1">
        <f>-320000+32000</f>
        <v>-288000</v>
      </c>
      <c r="F45" s="1">
        <f>F44+Table1[[#This Row],[Change]]</f>
        <v>-4155000</v>
      </c>
    </row>
    <row r="46" spans="1:6">
      <c r="A46" s="6">
        <v>43873</v>
      </c>
      <c r="B46" s="2" t="s">
        <v>8</v>
      </c>
      <c r="C46" s="1">
        <f>1*240000+0*80000</f>
        <v>240000</v>
      </c>
      <c r="D46" s="1">
        <f>Table1[[#This Row],[Bet Value]] + D45</f>
        <v>8480000</v>
      </c>
      <c r="E46" s="1">
        <f>-240000+24000</f>
        <v>-216000</v>
      </c>
      <c r="F46" s="1">
        <f>F45+Table1[[#This Row],[Change]]</f>
        <v>-4371000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2020-02-13T02:42:36Z</dcterms:modified>
</cp:coreProperties>
</file>