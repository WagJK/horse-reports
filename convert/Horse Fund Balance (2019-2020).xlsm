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228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ngj\OneDrive\桌面\horse-reports\convert\"/>
    </mc:Choice>
  </mc:AlternateContent>
  <xr:revisionPtr revIDLastSave="7" documentId="6_{CC6BB569-F454-4A10-8C0D-2623DF155D4C}" xr6:coauthVersionLast="45" xr6:coauthVersionMax="45" xr10:uidLastSave="{B9BE3FFE-DE53-41F2-956E-117E4EA0AC8F}"/>
  <bookViews>
    <workbookView xWindow="-120" yWindow="-120" windowWidth="38640" windowHeight="21390" tabRatio="565" xr2:uid="{00000000-000D-0000-FFFF-FFFF00000000}"/>
  </bookViews>
  <sheets>
    <sheet name="Fund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1" i="1" l="1"/>
  <c r="C34" i="1"/>
  <c r="E34" i="1"/>
  <c r="E33" i="1" l="1"/>
  <c r="C33" i="1"/>
  <c r="C32" i="1" l="1"/>
  <c r="E32" i="1"/>
  <c r="E31" i="1" l="1"/>
  <c r="C31" i="1"/>
  <c r="C30" i="1" l="1"/>
  <c r="E30" i="1"/>
  <c r="E29" i="1" l="1"/>
  <c r="C29" i="1"/>
  <c r="E28" i="1" l="1"/>
  <c r="C28" i="1"/>
  <c r="E27" i="1" l="1"/>
  <c r="C27" i="1"/>
  <c r="E26" i="1" l="1"/>
  <c r="C26" i="1"/>
  <c r="C25" i="1" l="1"/>
  <c r="E25" i="1"/>
  <c r="E24" i="1" l="1"/>
  <c r="C24" i="1"/>
  <c r="E23" i="1" l="1"/>
  <c r="C23" i="1" l="1"/>
  <c r="E22" i="1" l="1"/>
  <c r="C22" i="1"/>
  <c r="E21" i="1" l="1"/>
  <c r="C21" i="1"/>
  <c r="E20" i="1" l="1"/>
  <c r="C20" i="1"/>
  <c r="E19" i="1" l="1"/>
  <c r="C19" i="1"/>
  <c r="C18" i="1" l="1"/>
  <c r="E18" i="1"/>
  <c r="C17" i="1" l="1"/>
  <c r="E17" i="1"/>
  <c r="E16" i="1" l="1"/>
  <c r="C16" i="1"/>
  <c r="E15" i="1" l="1"/>
  <c r="C15" i="1"/>
  <c r="E14" i="1" l="1"/>
  <c r="C14" i="1"/>
  <c r="E13" i="1" l="1"/>
  <c r="C13" i="1"/>
  <c r="E12" i="1" l="1"/>
  <c r="C12" i="1"/>
  <c r="E11" i="1" l="1"/>
  <c r="C11" i="1"/>
  <c r="E10" i="1" l="1"/>
  <c r="C10" i="1"/>
  <c r="E9" i="1" l="1"/>
  <c r="C9" i="1"/>
  <c r="E8" i="1" l="1"/>
  <c r="C8" i="1"/>
  <c r="E7" i="1" l="1"/>
  <c r="C7" i="1"/>
  <c r="E6" i="1"/>
  <c r="C6" i="1"/>
  <c r="E5" i="1"/>
  <c r="C5" i="1"/>
  <c r="E4" i="1"/>
  <c r="E3" i="1"/>
  <c r="C4" i="1"/>
  <c r="C3" i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F3" i="1"/>
  <c r="F4" i="1" l="1"/>
  <c r="F5" i="1" l="1"/>
  <c r="F6" i="1" s="1"/>
  <c r="F7" i="1" s="1"/>
  <c r="F8" i="1" l="1"/>
  <c r="F9" i="1" l="1"/>
  <c r="F10" i="1" l="1"/>
  <c r="F11" i="1" l="1"/>
  <c r="F12" i="1" l="1"/>
  <c r="F13" i="1" l="1"/>
  <c r="F14" i="1" l="1"/>
  <c r="F15" i="1" l="1"/>
  <c r="F16" i="1" l="1"/>
  <c r="F17" i="1" l="1"/>
  <c r="F18" i="1" l="1"/>
  <c r="F19" i="1" s="1"/>
  <c r="F20" i="1" l="1"/>
  <c r="F21" i="1" l="1"/>
  <c r="F22" i="1" l="1"/>
  <c r="F23" i="1" s="1"/>
  <c r="F24" i="1" l="1"/>
  <c r="F25" i="1" l="1"/>
  <c r="F26" i="1" l="1"/>
  <c r="F27" i="1" l="1"/>
  <c r="F28" i="1" l="1"/>
  <c r="F29" i="1" l="1"/>
  <c r="F30" i="1" l="1"/>
  <c r="F31" i="1" l="1"/>
  <c r="F32" i="1" l="1"/>
  <c r="F33" i="1" l="1"/>
  <c r="F34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Data Base (2018-2019)" description="Connection to the 'Data Base (2018-2019)' query in the workbook." type="5" refreshedVersion="6" background="1">
    <dbPr connection="Provider=Microsoft.Mashup.OleDb.1;Data Source=$Workbook$;Location=Data Base (2018-2019);Extended Properties=&quot;&quot;" command="SELECT * FROM [Data Base (2018-2019)]"/>
  </connection>
  <connection id="2" xr16:uid="{00000000-0015-0000-FFFF-FFFF01000000}" keepAlive="1" name="查询 - Horse Report 2019-7-10" description="与工作簿中“Horse Report 2019-7-10”查询的连接。" type="5" refreshedVersion="0" background="1">
    <dbPr connection="Provider=Microsoft.Mashup.OleDb.1;Data Source=$Workbook$;Location=Horse Report 2019-7-10;Extended Properties=&quot;&quot;" command="SELECT * FROM [Horse Report 2019-7-10]"/>
  </connection>
  <connection id="3" xr16:uid="{00000000-0015-0000-FFFF-FFFF02000000}" keepAlive="1" name="查询 - Horse Report 2019-7-14" description="与工作簿中“Horse Report 2019-7-14”查询的连接。" type="5" refreshedVersion="0" background="1">
    <dbPr connection="Provider=Microsoft.Mashup.OleDb.1;Data Source=$Workbook$;Location=Horse Report 2019-7-14;Extended Properties=&quot;&quot;" command="SELECT * FROM [Horse Report 2019-7-14]"/>
  </connection>
</connections>
</file>

<file path=xl/sharedStrings.xml><?xml version="1.0" encoding="utf-8"?>
<sst xmlns="http://schemas.openxmlformats.org/spreadsheetml/2006/main" count="44" uniqueCount="13">
  <si>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</si>
  <si>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</si>
  <si>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</si>
  <si>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</si>
  <si>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</si>
  <si>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</si>
  <si>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</si>
  <si>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</si>
  <si>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1L</t>
  </si>
  <si>
    <t>1P</t>
  </si>
  <si>
    <t>2L</t>
  </si>
  <si>
    <t>1P-1L</t>
  </si>
  <si>
    <t>1W-1L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</si>
</sst>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Normal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9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Fund!$A$2:$A$34</c:f>
              <c:strCache>
                <c:ptCount val="33"/>
                <c:pt idx="0">
                  <c:v>-</c:v>
                </c:pt>
                <c:pt idx="1">
                  <c:v>2019/9/1</c:v>
                </c:pt>
                <c:pt idx="2">
                  <c:v>2019/9/8</c:v>
                </c:pt>
                <c:pt idx="3">
                  <c:v>2019/9/11</c:v>
                </c:pt>
                <c:pt idx="4">
                  <c:v>2019/9/15</c:v>
                </c:pt>
                <c:pt idx="5">
                  <c:v>2019/9/21</c:v>
                </c:pt>
                <c:pt idx="6">
                  <c:v>2019/9/25</c:v>
                </c:pt>
                <c:pt idx="7">
                  <c:v>2019/10/1</c:v>
                </c:pt>
                <c:pt idx="8">
                  <c:v>2019/10/6</c:v>
                </c:pt>
                <c:pt idx="9">
                  <c:v>2019/10/9</c:v>
                </c:pt>
                <c:pt idx="10">
                  <c:v>2019/10/12</c:v>
                </c:pt>
                <c:pt idx="11">
                  <c:v>2019/10/16</c:v>
                </c:pt>
                <c:pt idx="12">
                  <c:v>2019/10/20</c:v>
                </c:pt>
                <c:pt idx="13">
                  <c:v>2019/10/23</c:v>
                </c:pt>
                <c:pt idx="14">
                  <c:v>2019/10/27</c:v>
                </c:pt>
                <c:pt idx="15">
                  <c:v>2019/10/30</c:v>
                </c:pt>
                <c:pt idx="16">
                  <c:v>2019/11/3</c:v>
                </c:pt>
                <c:pt idx="17">
                  <c:v>2019/11/6</c:v>
                </c:pt>
                <c:pt idx="18">
                  <c:v>2019/11/9</c:v>
                </c:pt>
                <c:pt idx="19">
                  <c:v>2019/11/17</c:v>
                </c:pt>
                <c:pt idx="20">
                  <c:v>2019/11/20</c:v>
                </c:pt>
                <c:pt idx="21">
                  <c:v>2019/11/23</c:v>
                </c:pt>
                <c:pt idx="22">
                  <c:v>2019/11/27</c:v>
                </c:pt>
                <c:pt idx="23">
                  <c:v>2019/12/1</c:v>
                </c:pt>
                <c:pt idx="24">
                  <c:v>2019/12/4</c:v>
                </c:pt>
                <c:pt idx="25">
                  <c:v>2019/12/8</c:v>
                </c:pt>
                <c:pt idx="26">
                  <c:v>2019/12/11</c:v>
                </c:pt>
                <c:pt idx="27">
                  <c:v>2019/12/15</c:v>
                </c:pt>
                <c:pt idx="28">
                  <c:v>2019/12/18</c:v>
                </c:pt>
                <c:pt idx="29">
                  <c:v>2019/12/21</c:v>
                </c:pt>
                <c:pt idx="30">
                  <c:v>2019/12/26</c:v>
                </c:pt>
                <c:pt idx="31">
                  <c:v>2019/12/29</c:v>
                </c:pt>
                <c:pt idx="32">
                  <c:v>2020/1/1</c:v>
                </c:pt>
              </c:strCache>
            </c:strRef>
          </c:cat>
          <c:val>
            <c:numRef>
              <c:f>Fund!$F$2:$F$34</c:f>
              <c:numCache>
                <c:formatCode>"HK$"#,##0.00_);[Red]\("HK$"#,##0.00\)</c:formatCode>
                <c:ptCount val="33"/>
                <c:pt idx="0">
                  <c:v>0</c:v>
                </c:pt>
                <c:pt idx="1">
                  <c:v>-288000</c:v>
                </c:pt>
                <c:pt idx="2">
                  <c:v>-504000</c:v>
                </c:pt>
                <c:pt idx="3">
                  <c:v>-438000</c:v>
                </c:pt>
                <c:pt idx="4">
                  <c:v>-726000</c:v>
                </c:pt>
                <c:pt idx="5">
                  <c:v>-1230000</c:v>
                </c:pt>
                <c:pt idx="6">
                  <c:v>-1446000</c:v>
                </c:pt>
                <c:pt idx="7">
                  <c:v>-1734000</c:v>
                </c:pt>
                <c:pt idx="8">
                  <c:v>-1950000</c:v>
                </c:pt>
                <c:pt idx="9">
                  <c:v>-2154000</c:v>
                </c:pt>
                <c:pt idx="10">
                  <c:v>-2370000</c:v>
                </c:pt>
                <c:pt idx="11">
                  <c:v>-2658000</c:v>
                </c:pt>
                <c:pt idx="12">
                  <c:v>-2574000</c:v>
                </c:pt>
                <c:pt idx="13">
                  <c:v>-2565000</c:v>
                </c:pt>
                <c:pt idx="14">
                  <c:v>-2565000</c:v>
                </c:pt>
                <c:pt idx="15">
                  <c:v>-2565000</c:v>
                </c:pt>
                <c:pt idx="16">
                  <c:v>-2565000</c:v>
                </c:pt>
                <c:pt idx="17">
                  <c:v>-2418000</c:v>
                </c:pt>
                <c:pt idx="18">
                  <c:v>-2850000</c:v>
                </c:pt>
                <c:pt idx="19">
                  <c:v>-2850000</c:v>
                </c:pt>
                <c:pt idx="20">
                  <c:v>-3282000</c:v>
                </c:pt>
                <c:pt idx="21">
                  <c:v>-3099000</c:v>
                </c:pt>
                <c:pt idx="22">
                  <c:v>-3315000</c:v>
                </c:pt>
                <c:pt idx="23">
                  <c:v>-3531000</c:v>
                </c:pt>
                <c:pt idx="24">
                  <c:v>-3531000</c:v>
                </c:pt>
                <c:pt idx="25">
                  <c:v>-3819000</c:v>
                </c:pt>
                <c:pt idx="26">
                  <c:v>-4035000</c:v>
                </c:pt>
                <c:pt idx="27">
                  <c:v>-4035000</c:v>
                </c:pt>
                <c:pt idx="28">
                  <c:v>-4035000</c:v>
                </c:pt>
                <c:pt idx="29">
                  <c:v>-4251000</c:v>
                </c:pt>
                <c:pt idx="30">
                  <c:v>-4467000</c:v>
                </c:pt>
                <c:pt idx="31">
                  <c:v>-4467000</c:v>
                </c:pt>
                <c:pt idx="32">
                  <c:v>-4467000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6000000"/>
          <c:min val="-6000000"/>
        </c:scaling>
        <c:delete val="0"/>
        <c:axPos val="l"/>
        <c:majorGridlines/>
        <c:numFmt formatCode="&quot;HK$&quot;#,##0.00_);[Red]\(&quot;HK$&quot;#,##0.00\)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209547</xdr:colOff>
      <xdr:row>2</xdr:row>
      <xdr:rowOff>119167</xdr:rowOff>
    </xdr:from>
    <xdr:to>
      <xdr:col>14</xdr:col>
      <xdr:colOff>112395</xdr:colOff>
      <xdr:row>28</xdr:row>
      <xdr:rowOff>66675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34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34"/>
  <sheetViews>
    <sheetView tabSelected="1" zoomScaleNormal="100" workbookViewId="0"/>
  </sheetViews>
  <sheetFormatPr defaultRowHeight="15"/>
  <cols>
    <col min="1" max="1" width="12.7109375" style="7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7" width="19.140625" customWidth="1"/>
    <col min="8" max="8" width="17.140625" customWidth="1"/>
    <col min="9" max="9" width="22.7109375" customWidth="1"/>
  </cols>
  <sheetData>
    <row r="1" spans="1:9">
      <c r="A1" s="8" t="s">
        <v>0</v>
      </c>
      <c r="B1" s="5" t="s">
        <v>1</v>
      </c>
      <c r="C1" s="5" t="s">
        <v>6</v>
      </c>
      <c r="D1" s="5" t="s">
        <v>7</v>
      </c>
      <c r="E1" s="5" t="s">
        <v>2</v>
      </c>
      <c r="F1" s="5" t="s">
        <v>3</v>
      </c>
      <c r="G1" s="1"/>
      <c r="H1" s="3" t="s">
        <v>5</v>
      </c>
      <c r="I1" s="4">
        <f>F34</f>
        <v>-4467000</v>
      </c>
    </row>
    <row r="2" spans="1:9">
      <c r="A2" s="6" t="s">
        <v>4</v>
      </c>
      <c r="B2" s="2" t="s">
        <v>4</v>
      </c>
      <c r="C2" s="1" t="s">
        <v>4</v>
      </c>
      <c r="D2" s="1" t="s">
        <v>4</v>
      </c>
      <c r="E2" s="1" t="s">
        <v>4</v>
      </c>
      <c r="F2" s="1">
        <v>0</v>
      </c>
      <c r="G2" s="1"/>
      <c r="I2" s="1"/>
    </row>
    <row r="3" spans="1:9">
      <c r="A3" s="6">
        <v>43709</v>
      </c>
      <c r="B3" s="2" t="s">
        <v>8</v>
      </c>
      <c r="C3" s="1">
        <f>1*240000+1*80000</f>
        <v>320000</v>
      </c>
      <c r="D3" s="1">
        <f>Table1[[#This Row],[Bet Value]]</f>
        <v>320000</v>
      </c>
      <c r="E3" s="1">
        <f>-320000+32000</f>
        <v>-288000</v>
      </c>
      <c r="F3" s="1">
        <f>F2+Table1[[#This Row],[Change]]</f>
        <v>-288000</v>
      </c>
      <c r="G3" s="1"/>
    </row>
    <row r="4" spans="1:9">
      <c r="A4" s="6">
        <v>43716</v>
      </c>
      <c r="B4" s="2" t="s">
        <v>8</v>
      </c>
      <c r="C4" s="1">
        <f>1*240000+0*80000</f>
        <v>240000</v>
      </c>
      <c r="D4" s="1">
        <f>Table1[[#This Row],[Bet Value]] + D3</f>
        <v>560000</v>
      </c>
      <c r="E4" s="1">
        <f>-240000+24000</f>
        <v>-216000</v>
      </c>
      <c r="F4" s="1">
        <f>F3+Table1[[#This Row],[Change]]</f>
        <v>-504000</v>
      </c>
    </row>
    <row r="5" spans="1:9">
      <c r="A5" s="6">
        <v>43719</v>
      </c>
      <c r="B5" s="2" t="s">
        <v>9</v>
      </c>
      <c r="C5" s="1">
        <f t="shared" ref="C5" si="0">1*240000+0*80000</f>
        <v>240000</v>
      </c>
      <c r="D5" s="1">
        <f>Table1[[#This Row],[Bet Value]] + D4</f>
        <v>800000</v>
      </c>
      <c r="E5" s="1">
        <f>66000+0</f>
        <v>66000</v>
      </c>
      <c r="F5" s="1">
        <f>F4+Table1[[#This Row],[Change]]</f>
        <v>-438000</v>
      </c>
    </row>
    <row r="6" spans="1:9">
      <c r="A6" s="6">
        <v>43723</v>
      </c>
      <c r="B6" s="2" t="s">
        <v>8</v>
      </c>
      <c r="C6" s="1">
        <f>1*240000+1*80000</f>
        <v>320000</v>
      </c>
      <c r="D6" s="1">
        <f>Table1[[#This Row],[Bet Value]] + D5</f>
        <v>1120000</v>
      </c>
      <c r="E6" s="1">
        <f>-320000+32000</f>
        <v>-288000</v>
      </c>
      <c r="F6" s="1">
        <f>F5+Table1[[#This Row],[Change]]</f>
        <v>-726000</v>
      </c>
    </row>
    <row r="7" spans="1:9">
      <c r="A7" s="6">
        <v>43729</v>
      </c>
      <c r="B7" s="2" t="s">
        <v>10</v>
      </c>
      <c r="C7" s="1">
        <f>2*240000+1*80000</f>
        <v>560000</v>
      </c>
      <c r="D7" s="1">
        <f>Table1[[#This Row],[Bet Value]] + D6</f>
        <v>1680000</v>
      </c>
      <c r="E7" s="1">
        <f>-560000+56000</f>
        <v>-504000</v>
      </c>
      <c r="F7" s="1">
        <f>F6+Table1[[#This Row],[Change]]</f>
        <v>-1230000</v>
      </c>
    </row>
    <row r="8" spans="1:9">
      <c r="A8" s="6">
        <v>43733</v>
      </c>
      <c r="B8" s="2" t="s">
        <v>8</v>
      </c>
      <c r="C8" s="1">
        <f>1*240000+0*80000</f>
        <v>240000</v>
      </c>
      <c r="D8" s="1">
        <f>Table1[[#This Row],[Bet Value]] + D7</f>
        <v>1920000</v>
      </c>
      <c r="E8" s="1">
        <f>-240000+24000</f>
        <v>-216000</v>
      </c>
      <c r="F8" s="1">
        <f>F7+Table1[[#This Row],[Change]]</f>
        <v>-1446000</v>
      </c>
    </row>
    <row r="9" spans="1:9">
      <c r="A9" s="6">
        <v>43739</v>
      </c>
      <c r="B9" s="2" t="s">
        <v>8</v>
      </c>
      <c r="C9" s="1">
        <f>1*240000+1*80000</f>
        <v>320000</v>
      </c>
      <c r="D9" s="1">
        <f>Table1[[#This Row],[Bet Value]] + D8</f>
        <v>2240000</v>
      </c>
      <c r="E9" s="1">
        <f>-320000+32000</f>
        <v>-288000</v>
      </c>
      <c r="F9" s="1">
        <f>F8+Table1[[#This Row],[Change]]</f>
        <v>-1734000</v>
      </c>
    </row>
    <row r="10" spans="1:9">
      <c r="A10" s="6">
        <v>43744</v>
      </c>
      <c r="B10" s="2" t="s">
        <v>8</v>
      </c>
      <c r="C10" s="1">
        <f>1*240000+0*80000</f>
        <v>240000</v>
      </c>
      <c r="D10" s="1">
        <f>Table1[[#This Row],[Bet Value]] + D9</f>
        <v>2480000</v>
      </c>
      <c r="E10" s="1">
        <f>-240000+24000</f>
        <v>-216000</v>
      </c>
      <c r="F10" s="1">
        <f>F9+Table1[[#This Row],[Change]]</f>
        <v>-1950000</v>
      </c>
    </row>
    <row r="11" spans="1:9">
      <c r="A11" s="6">
        <v>43747</v>
      </c>
      <c r="B11" s="2" t="s">
        <v>11</v>
      </c>
      <c r="C11" s="1">
        <f>2*240000+0*80000</f>
        <v>480000</v>
      </c>
      <c r="D11" s="1">
        <f>Table1[[#This Row],[Bet Value]] + D10</f>
        <v>2960000</v>
      </c>
      <c r="E11" s="1">
        <f>-228000+24000</f>
        <v>-204000</v>
      </c>
      <c r="F11" s="1">
        <f>F10+Table1[[#This Row],[Change]]</f>
        <v>-2154000</v>
      </c>
    </row>
    <row r="12" spans="1:9">
      <c r="A12" s="6">
        <v>43750</v>
      </c>
      <c r="B12" s="2" t="s">
        <v>8</v>
      </c>
      <c r="C12" s="1">
        <f>1*240000+0*80000</f>
        <v>240000</v>
      </c>
      <c r="D12" s="1">
        <f>Table1[[#This Row],[Bet Value]] + D11</f>
        <v>3200000</v>
      </c>
      <c r="E12" s="1">
        <f>-240000+24000</f>
        <v>-216000</v>
      </c>
      <c r="F12" s="1">
        <f>F11+Table1[[#This Row],[Change]]</f>
        <v>-2370000</v>
      </c>
    </row>
    <row r="13" spans="1:9">
      <c r="A13" s="6">
        <v>43754</v>
      </c>
      <c r="B13" s="2" t="s">
        <v>8</v>
      </c>
      <c r="C13" s="1">
        <f>1*240000+1*80000</f>
        <v>320000</v>
      </c>
      <c r="D13" s="1">
        <f>Table1[[#This Row],[Bet Value]] + D12</f>
        <v>3520000</v>
      </c>
      <c r="E13" s="1">
        <f>-320000+32000</f>
        <v>-288000</v>
      </c>
      <c r="F13" s="1">
        <f>F12+Table1[[#This Row],[Change]]</f>
        <v>-2658000</v>
      </c>
    </row>
    <row r="14" spans="1:9">
      <c r="A14" s="6">
        <v>43758</v>
      </c>
      <c r="B14" s="2" t="s">
        <v>9</v>
      </c>
      <c r="C14" s="1">
        <f>1*240000+0*80000</f>
        <v>240000</v>
      </c>
      <c r="D14" s="1">
        <f>Table1[[#This Row],[Bet Value]] + D13</f>
        <v>3760000</v>
      </c>
      <c r="E14" s="1">
        <f>84000+0</f>
        <v>84000</v>
      </c>
      <c r="F14" s="1">
        <f>F13+Table1[[#This Row],[Change]]</f>
        <v>-2574000</v>
      </c>
    </row>
    <row r="15" spans="1:9">
      <c r="A15" s="6">
        <v>43761</v>
      </c>
      <c r="B15" s="2" t="s">
        <v>12</v>
      </c>
      <c r="C15" s="1">
        <f>2*240000+0*80000</f>
        <v>480000</v>
      </c>
      <c r="D15" s="1">
        <f>Table1[[#This Row],[Bet Value]] + D14</f>
        <v>4240000</v>
      </c>
      <c r="E15" s="1">
        <f>-15000+24000</f>
        <v>9000</v>
      </c>
      <c r="F15" s="1">
        <f>F14+Table1[[#This Row],[Change]]</f>
        <v>-2565000</v>
      </c>
    </row>
    <row r="16" spans="1:9">
      <c r="A16" s="6">
        <v>43765</v>
      </c>
      <c r="B16" s="2" t="s">
        <v>4</v>
      </c>
      <c r="C16" s="1">
        <f>0*240000+0*80000</f>
        <v>0</v>
      </c>
      <c r="D16" s="1">
        <f>Table1[[#This Row],[Bet Value]] + D15</f>
        <v>4240000</v>
      </c>
      <c r="E16" s="1">
        <f>0+0</f>
        <v>0</v>
      </c>
      <c r="F16" s="1">
        <f>F15+Table1[[#This Row],[Change]]</f>
        <v>-2565000</v>
      </c>
    </row>
    <row r="17" spans="1:6">
      <c r="A17" s="6">
        <v>43768</v>
      </c>
      <c r="B17" s="2" t="s">
        <v>4</v>
      </c>
      <c r="C17" s="1">
        <f>0*240000+0*80000</f>
        <v>0</v>
      </c>
      <c r="D17" s="1">
        <f>Table1[[#This Row],[Bet Value]] + D16</f>
        <v>4240000</v>
      </c>
      <c r="E17" s="1">
        <f>0+0</f>
        <v>0</v>
      </c>
      <c r="F17" s="1">
        <f>F16+Table1[[#This Row],[Change]]</f>
        <v>-2565000</v>
      </c>
    </row>
    <row r="18" spans="1:6">
      <c r="A18" s="6">
        <v>43772</v>
      </c>
      <c r="B18" s="2" t="s">
        <v>4</v>
      </c>
      <c r="C18" s="1">
        <f>0*240000+0*80000</f>
        <v>0</v>
      </c>
      <c r="D18" s="1">
        <f>Table1[[#This Row],[Bet Value]] + D17</f>
        <v>4240000</v>
      </c>
      <c r="E18" s="1">
        <f>0+0</f>
        <v>0</v>
      </c>
      <c r="F18" s="1">
        <f>F17+Table1[[#This Row],[Change]]</f>
        <v>-2565000</v>
      </c>
    </row>
    <row r="19" spans="1:6">
      <c r="A19" s="6">
        <v>43775</v>
      </c>
      <c r="B19" s="2" t="s">
        <v>9</v>
      </c>
      <c r="C19" s="1">
        <f>1*240000+0*80000</f>
        <v>240000</v>
      </c>
      <c r="D19" s="1">
        <f>Table1[[#This Row],[Bet Value]] + D18</f>
        <v>4480000</v>
      </c>
      <c r="E19" s="1">
        <f>147000+0</f>
        <v>147000</v>
      </c>
      <c r="F19" s="1">
        <f>F18+Table1[[#This Row],[Change]]</f>
        <v>-2418000</v>
      </c>
    </row>
    <row r="20" spans="1:6">
      <c r="A20" s="6">
        <v>43778</v>
      </c>
      <c r="B20" s="2" t="s">
        <v>10</v>
      </c>
      <c r="C20" s="1">
        <f>2*240000+0*80000</f>
        <v>480000</v>
      </c>
      <c r="D20" s="1">
        <f>Table1[[#This Row],[Bet Value]] + D19</f>
        <v>4960000</v>
      </c>
      <c r="E20" s="1">
        <f>-480000+48000</f>
        <v>-432000</v>
      </c>
      <c r="F20" s="1">
        <f>F19+Table1[[#This Row],[Change]]</f>
        <v>-2850000</v>
      </c>
    </row>
    <row r="21" spans="1:6">
      <c r="A21" s="6">
        <v>43786</v>
      </c>
      <c r="B21" s="2" t="s">
        <v>4</v>
      </c>
      <c r="C21" s="1">
        <f>0*240000+0*80000</f>
        <v>0</v>
      </c>
      <c r="D21" s="1">
        <f>Table1[[#This Row],[Bet Value]] + D20</f>
        <v>4960000</v>
      </c>
      <c r="E21" s="1">
        <f>0+0</f>
        <v>0</v>
      </c>
      <c r="F21" s="1">
        <f>F20+Table1[[#This Row],[Change]]</f>
        <v>-2850000</v>
      </c>
    </row>
    <row r="22" spans="1:6">
      <c r="A22" s="6">
        <v>43789</v>
      </c>
      <c r="B22" s="2" t="s">
        <v>10</v>
      </c>
      <c r="C22" s="1">
        <f>2*240000+0*80000</f>
        <v>480000</v>
      </c>
      <c r="D22" s="1">
        <f>Table1[[#This Row],[Bet Value]] + D21</f>
        <v>5440000</v>
      </c>
      <c r="E22" s="1">
        <f>-480000+48000</f>
        <v>-432000</v>
      </c>
      <c r="F22" s="1">
        <f>F21+Table1[[#This Row],[Change]]</f>
        <v>-3282000</v>
      </c>
    </row>
    <row r="23" spans="1:6">
      <c r="A23" s="6">
        <v>43792</v>
      </c>
      <c r="B23" s="2" t="s">
        <v>9</v>
      </c>
      <c r="C23" s="1">
        <f>1*240000+0*80000</f>
        <v>240000</v>
      </c>
      <c r="D23" s="1">
        <f>Table1[[#This Row],[Bet Value]] + D22</f>
        <v>5680000</v>
      </c>
      <c r="E23" s="1">
        <f>183000+0</f>
        <v>183000</v>
      </c>
      <c r="F23" s="1">
        <f>F22+Table1[[#This Row],[Change]]</f>
        <v>-3099000</v>
      </c>
    </row>
    <row r="24" spans="1:6">
      <c r="A24" s="6">
        <v>43796</v>
      </c>
      <c r="B24" s="2" t="s">
        <v>8</v>
      </c>
      <c r="C24" s="1">
        <f>1*240000+0*80000</f>
        <v>240000</v>
      </c>
      <c r="D24" s="1">
        <f>Table1[[#This Row],[Bet Value]] + D23</f>
        <v>5920000</v>
      </c>
      <c r="E24" s="1">
        <f>-240000+24000</f>
        <v>-216000</v>
      </c>
      <c r="F24" s="1">
        <f>F23+Table1[[#This Row],[Change]]</f>
        <v>-3315000</v>
      </c>
    </row>
    <row r="25" spans="1:6">
      <c r="A25" s="6">
        <v>43800</v>
      </c>
      <c r="B25" s="2" t="s">
        <v>8</v>
      </c>
      <c r="C25" s="1">
        <f>1*240000+0*80000</f>
        <v>240000</v>
      </c>
      <c r="D25" s="1">
        <f>Table1[[#This Row],[Bet Value]] + D24</f>
        <v>6160000</v>
      </c>
      <c r="E25" s="1">
        <f>-240000+24000</f>
        <v>-216000</v>
      </c>
      <c r="F25" s="1">
        <f>F24+Table1[[#This Row],[Change]]</f>
        <v>-3531000</v>
      </c>
    </row>
    <row r="26" spans="1:6">
      <c r="A26" s="6">
        <v>43803</v>
      </c>
      <c r="B26" s="2" t="s">
        <v>4</v>
      </c>
      <c r="C26" s="1">
        <f>0*240000+0*80000</f>
        <v>0</v>
      </c>
      <c r="D26" s="1">
        <f>Table1[[#This Row],[Bet Value]] + D25</f>
        <v>6160000</v>
      </c>
      <c r="E26" s="1">
        <f>0+0</f>
        <v>0</v>
      </c>
      <c r="F26" s="1">
        <f>F25+Table1[[#This Row],[Change]]</f>
        <v>-3531000</v>
      </c>
    </row>
    <row r="27" spans="1:6">
      <c r="A27" s="6">
        <v>43807</v>
      </c>
      <c r="B27" s="2" t="s">
        <v>8</v>
      </c>
      <c r="C27" s="1">
        <f>1*240000+1*80000</f>
        <v>320000</v>
      </c>
      <c r="D27" s="1">
        <f>Table1[[#This Row],[Bet Value]] + D26</f>
        <v>6480000</v>
      </c>
      <c r="E27" s="1">
        <f>-320000+32000</f>
        <v>-288000</v>
      </c>
      <c r="F27" s="1">
        <f>F26+Table1[[#This Row],[Change]]</f>
        <v>-3819000</v>
      </c>
    </row>
    <row r="28" spans="1:6">
      <c r="A28" s="6">
        <v>43810</v>
      </c>
      <c r="B28" s="2" t="s">
        <v>8</v>
      </c>
      <c r="C28" s="1">
        <f>1*240000+0*80000</f>
        <v>240000</v>
      </c>
      <c r="D28" s="1">
        <f>Table1[[#This Row],[Bet Value]] + D27</f>
        <v>6720000</v>
      </c>
      <c r="E28" s="1">
        <f>-240000+24000</f>
        <v>-216000</v>
      </c>
      <c r="F28" s="1">
        <f>F27+Table1[[#This Row],[Change]]</f>
        <v>-4035000</v>
      </c>
    </row>
    <row r="29" spans="1:6">
      <c r="A29" s="6">
        <v>43814</v>
      </c>
      <c r="B29" s="2" t="s">
        <v>4</v>
      </c>
      <c r="C29" s="1">
        <f>0*240000+0*80000</f>
        <v>0</v>
      </c>
      <c r="D29" s="1">
        <f>Table1[[#This Row],[Bet Value]] + D28</f>
        <v>6720000</v>
      </c>
      <c r="E29" s="1">
        <f>0+0</f>
        <v>0</v>
      </c>
      <c r="F29" s="1">
        <f>F28+Table1[[#This Row],[Change]]</f>
        <v>-4035000</v>
      </c>
    </row>
    <row r="30" spans="1:6">
      <c r="A30" s="6">
        <v>43817</v>
      </c>
      <c r="B30" s="2" t="s">
        <v>4</v>
      </c>
      <c r="C30" s="1">
        <f>0*240000+0*80000</f>
        <v>0</v>
      </c>
      <c r="D30" s="1">
        <f>Table1[[#This Row],[Bet Value]] + D29</f>
        <v>6720000</v>
      </c>
      <c r="E30" s="1">
        <f>0+0</f>
        <v>0</v>
      </c>
      <c r="F30" s="1">
        <f>F29+Table1[[#This Row],[Change]]</f>
        <v>-4035000</v>
      </c>
    </row>
    <row r="31" spans="1:6">
      <c r="A31" s="6">
        <v>43820</v>
      </c>
      <c r="B31" s="2" t="s">
        <v>8</v>
      </c>
      <c r="C31" s="1">
        <f>1*240000+0*80000</f>
        <v>240000</v>
      </c>
      <c r="D31" s="1">
        <f>Table1[[#This Row],[Bet Value]] + D30</f>
        <v>6960000</v>
      </c>
      <c r="E31" s="1">
        <f>-240000+24000</f>
        <v>-216000</v>
      </c>
      <c r="F31" s="1">
        <f>F30+Table1[[#This Row],[Change]]</f>
        <v>-4251000</v>
      </c>
    </row>
    <row r="32" spans="1:6">
      <c r="A32" s="6">
        <v>43825</v>
      </c>
      <c r="B32" s="2" t="s">
        <v>8</v>
      </c>
      <c r="C32" s="1">
        <f>1*240000+0*80000</f>
        <v>240000</v>
      </c>
      <c r="D32" s="1">
        <f>Table1[[#This Row],[Bet Value]] + D31</f>
        <v>7200000</v>
      </c>
      <c r="E32" s="1">
        <f>-240000+24000</f>
        <v>-216000</v>
      </c>
      <c r="F32" s="1">
        <f>F31+Table1[[#This Row],[Change]]</f>
        <v>-4467000</v>
      </c>
    </row>
    <row r="33" spans="1:6">
      <c r="A33" s="6">
        <v>43828</v>
      </c>
      <c r="B33" s="2" t="s">
        <v>8</v>
      </c>
      <c r="C33" s="1">
        <f>0*240000+0*80000</f>
        <v>0</v>
      </c>
      <c r="D33" s="1">
        <f>Table1[[#This Row],[Bet Value]] + D32</f>
        <v>7200000</v>
      </c>
      <c r="E33" s="1">
        <f>0</f>
        <v>0</v>
      </c>
      <c r="F33" s="1">
        <f>F32+Table1[[#This Row],[Change]]</f>
        <v>-4467000</v>
      </c>
    </row>
    <row r="34" spans="1:6">
      <c r="A34" s="6">
        <v>43831</v>
      </c>
      <c r="B34" s="2" t="s">
        <v>8</v>
      </c>
      <c r="C34" s="1">
        <f>0*240000+0*80000</f>
        <v>0</v>
      </c>
      <c r="D34" s="1">
        <f>Table1[[#This Row],[Bet Value]] + D33</f>
        <v>7200000</v>
      </c>
      <c r="E34" s="1">
        <f>0</f>
        <v>0</v>
      </c>
      <c r="F34" s="1">
        <f>F33+Table1[[#This Row],[Change]]</f>
        <v>-4467000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5147B3C-F7D7-48B7-8B81-C5CCE2301BF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Wang Jikun</cp:lastModifiedBy>
  <cp:lastPrinted>2014-11-23T14:52:39Z</cp:lastPrinted>
  <dcterms:created xsi:type="dcterms:W3CDTF">2012-09-27T01:49:39Z</dcterms:created>
  <dcterms:modified xsi:type="dcterms:W3CDTF">2020-01-02T01:33:35Z</dcterms:modified>
</cp:coreProperties>
</file>