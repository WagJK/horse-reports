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0" documentId="13_ncr:1_{52ADC531-FB9D-450B-8D37-EABCA71BB5C1}" xr6:coauthVersionLast="45" xr6:coauthVersionMax="45" xr10:uidLastSave="{00000000-0000-0000-0000-000000000000}"/>
  <bookViews>
    <workbookView xWindow="1035" yWindow="0" windowWidth="50565" windowHeight="2100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83" i="1"/>
  <c r="C83" i="1"/>
  <c r="E82" i="1" l="1"/>
  <c r="C82" i="1"/>
  <c r="C81" i="1" l="1"/>
  <c r="E81" i="1"/>
  <c r="E80" i="1" l="1"/>
  <c r="C80" i="1"/>
  <c r="E79" i="1" l="1"/>
  <c r="C79" i="1"/>
  <c r="E78" i="1" l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  <c r="F82" i="1" l="1"/>
  <c r="F8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<sst xmlns="http://schemas.openxmlformats.org/spreadsheetml/2006/main" count="93" uniqueCount="14">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</sst>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Fund!$A$2:$A$83</c:f>
              <c:strCache>
                <c:ptCount val="82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  <c:pt idx="77">
                  <c:v>2020/6/7</c:v>
                </c:pt>
                <c:pt idx="78">
                  <c:v>2020/6/10</c:v>
                </c:pt>
                <c:pt idx="79">
                  <c:v>2020/6/14</c:v>
                </c:pt>
                <c:pt idx="80">
                  <c:v>2020/6/21</c:v>
                </c:pt>
                <c:pt idx="81">
                  <c:v>2020/6/24</c:v>
                </c:pt>
              </c:strCache>
            </c:strRef>
          </c:cat>
          <c:val>
            <c:numRef>
              <c:f>Fund!$F$2:$F$83</c:f>
              <c:numCache>
                <c:formatCode>"HK$"#,##0.00_);[Red]\("HK$"#,##0.00\)</c:formatCode>
                <c:ptCount val="82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  <c:pt idx="77">
                  <c:v>-4002000</c:v>
                </c:pt>
                <c:pt idx="78">
                  <c:v>-4002000</c:v>
                </c:pt>
                <c:pt idx="79">
                  <c:v>-4002000</c:v>
                </c:pt>
                <c:pt idx="80">
                  <c:v>-4218000</c:v>
                </c:pt>
                <c:pt idx="81">
                  <c:v>-4492200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5F616C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F83</f>
        <v>-4492200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  <row r="79" spans="1:6">
      <c r="A79" s="6">
        <v>43989</v>
      </c>
      <c r="B79" s="2" t="s">
        <v>13</v>
      </c>
      <c r="C79" s="1">
        <f>1*240000+0*80000</f>
        <v>240000</v>
      </c>
      <c r="D79" s="1">
        <f>Table1[[#This Row],[Bet Value]] + D78</f>
        <v>14000000</v>
      </c>
      <c r="E79" s="1">
        <f>1173000</f>
        <v>1173000</v>
      </c>
      <c r="F79" s="1">
        <f>F78+Table1[[#This Row],[Change]]</f>
        <v>-4002000</v>
      </c>
    </row>
    <row r="80" spans="1:6">
      <c r="A80" s="6">
        <v>43992</v>
      </c>
      <c r="B80" s="2" t="s">
        <v>4</v>
      </c>
      <c r="C80" s="1">
        <f>0*240000+0*80000</f>
        <v>0</v>
      </c>
      <c r="D80" s="1">
        <f>Table1[[#This Row],[Bet Value]] + D79</f>
        <v>14000000</v>
      </c>
      <c r="E80" s="1">
        <f>0</f>
        <v>0</v>
      </c>
      <c r="F80" s="1">
        <f>F79+Table1[[#This Row],[Change]]</f>
        <v>-4002000</v>
      </c>
    </row>
    <row r="81" spans="1:6">
      <c r="A81" s="6">
        <v>43996</v>
      </c>
      <c r="B81" s="2" t="s">
        <v>4</v>
      </c>
      <c r="C81" s="1">
        <f>0*240000+0*80000</f>
        <v>0</v>
      </c>
      <c r="D81" s="1">
        <f>Table1[[#This Row],[Bet Value]] + D80</f>
        <v>14000000</v>
      </c>
      <c r="E81" s="1">
        <f>0</f>
        <v>0</v>
      </c>
      <c r="F81" s="1">
        <f>F80+Table1[[#This Row],[Change]]</f>
        <v>-4002000</v>
      </c>
    </row>
    <row r="82" spans="1:6">
      <c r="A82" s="6">
        <v>44003</v>
      </c>
      <c r="B82" s="2" t="s">
        <v>8</v>
      </c>
      <c r="C82" s="1">
        <f>1*240000+0*80000</f>
        <v>240000</v>
      </c>
      <c r="D82" s="1">
        <f>Table1[[#This Row],[Bet Value]] + D81</f>
        <v>14240000</v>
      </c>
      <c r="E82" s="1">
        <f>-240000+24000</f>
        <v>-216000</v>
      </c>
      <c r="F82" s="1">
        <f>F81+Table1[[#This Row],[Change]]</f>
        <v>-4218000</v>
      </c>
    </row>
    <row r="83" spans="1:6">
      <c r="A83" s="6">
        <v>44006</v>
      </c>
      <c r="B83" s="2" t="s">
        <v>11</v>
      </c>
      <c r="C83" s="1">
        <f>2*240000+0*80000</f>
        <v>480000</v>
      </c>
      <c r="D83" s="1">
        <f>Table1[[#This Row],[Bet Value]] + D82</f>
        <v>14720000</v>
      </c>
      <c r="E83" s="1">
        <f>-298200+24000</f>
        <v>-274200</v>
      </c>
      <c r="F83" s="1">
        <f>F82+Table1[[#This Row],[Change]]</f>
        <v>-4492200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Jikun Wang</cp:lastModifiedBy>
  <cp:lastPrinted>2014-11-23T14:52:39Z</cp:lastPrinted>
  <dcterms:created xsi:type="dcterms:W3CDTF">2012-09-27T01:49:39Z</dcterms:created>
  <dcterms:modified xsi:type="dcterms:W3CDTF">2020-06-26T14:45:20Z</dcterms:modified>
</cp:coreProperties>
</file>