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53" documentId="114_{930F4E79-2B0A-4A9E-B21C-0DA94299132F}" xr6:coauthVersionLast="45" xr6:coauthVersionMax="45" xr10:uidLastSave="{C8E8A237-76CF-4BD3-98AB-9FED20F9B5D0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7" i="1"/>
  <c r="C87" i="1"/>
  <c r="E86" i="1" l="1"/>
  <c r="C86" i="1"/>
  <c r="E85" i="1" l="1"/>
  <c r="C85" i="1"/>
  <c r="E84" i="1" l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67440029-3A7A-4108-B465-952A5EB631F5}" keepAlive="1" name="Query - Data Base (2018-2019) (3)" description="Connection to the 'Data Base (2018-2019) (3)' query in the workbook." type="5" refreshedVersion="6" background="1" saveData="1">
    <dbPr connection="Provider=Microsoft.Mashup.OleDb.1;Data Source=$Workbook$;Location=&quot;Data Base (2018-2019) (3)&quot;;Extended Properties=&quot;&quot;" command="SELECT * FROM [Data Base (2018-2019) (3)]"/>
  </connection>
  <connection id="4" xr16:uid="{50323E53-FF7A-4C84-A7B5-5ADC6E534C7B}" keepAlive="1" name="Query - Data Base (2018-2019) (4)" description="Connection to the 'Data Base (2018-2019) (4)' query in the workbook." type="5" refreshedVersion="6" background="1" saveData="1">
    <dbPr connection="Provider=Microsoft.Mashup.OleDb.1;Data Source=$Workbook$;Location=&quot;Data Base (2018-2019) (4)&quot;;Extended Properties=&quot;&quot;" command="SELECT * FROM [Data Base (2018-2019) (4)]"/>
  </connection>
  <connection id="5" xr16:uid="{C8A5CCB0-02E6-48D9-AA04-251A51262F96}" keepAlive="1" name="Query - Data Base (2018-2019) (5)" description="Connection to the 'Data Base (2018-2019) (5)' query in the workbook." type="5" refreshedVersion="6" background="1" saveData="1">
    <dbPr connection="Provider=Microsoft.Mashup.OleDb.1;Data Source=$Workbook$;Location=&quot;Data Base (2018-2019) (5)&quot;;Extended Properties=&quot;&quot;" command="SELECT * FROM [Data Base (2018-2019) (5)]"/>
  </connection>
  <connection id="6" xr16:uid="{B6D2D2CF-39DF-4C0A-8CD8-E34E6394797C}" keepAlive="1" name="Query - Data Base (2018-2019) (6)" description="Connection to the 'Data Base (2018-2019) (6)' query in the workbook." type="5" refreshedVersion="6" background="1" saveData="1">
    <dbPr connection="Provider=Microsoft.Mashup.OleDb.1;Data Source=$Workbook$;Location=&quot;Data Base (2018-2019) (6)&quot;;Extended Properties=&quot;&quot;" command="SELECT * FROM [Data Base (2018-2019) (6)]"/>
  </connection>
  <connection id="7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8" xr16:uid="{64E1E7FC-EDEC-41A0-9C28-CE53E734CB32}" keepAlive="1" name="Query - Horse Report 2020-7-1" description="Connection to the 'Horse Report 2020-7-1' query in the workbook." type="5" refreshedVersion="6" background="1" saveData="1">
    <dbPr connection="Provider=Microsoft.Mashup.OleDb.1;Data Source=$Workbook$;Location=&quot;Horse Report 2020-7-1&quot;;Extended Properties=&quot;&quot;" command="SELECT * FROM [Horse Report 2020-7-1]"/>
  </connection>
  <connection id="9" xr16:uid="{0CE5F5A6-37DD-4735-B828-5219E6B6E60C}" keepAlive="1" name="Query - Horse Report 2020-7-1 (2)" description="Connection to the 'Horse Report 2020-7-1 (2)' query in the workbook." type="5" refreshedVersion="6" background="1" saveData="1">
    <dbPr connection="Provider=Microsoft.Mashup.OleDb.1;Data Source=$Workbook$;Location=&quot;Horse Report 2020-7-1 (2)&quot;;Extended Properties=&quot;&quot;" command="SELECT * FROM [Horse Report 2020-7-1 (2)]"/>
  </connection>
  <connection id="10" xr16:uid="{DED09F34-37B9-4749-8874-3ECB75DEF568}" keepAlive="1" name="Query - Horse Report 2020-7-5" description="Connection to the 'Horse Report 2020-7-5' query in the workbook." type="5" refreshedVersion="6" background="1" saveData="1">
    <dbPr connection="Provider=Microsoft.Mashup.OleDb.1;Data Source=$Workbook$;Location=&quot;Horse Report 2020-7-5&quot;;Extended Properties=&quot;&quot;" command="SELECT * FROM [Horse Report 2020-7-5]"/>
  </connection>
  <connection id="11" xr16:uid="{9C68D09F-1F34-4239-9F02-481D1C0F9E01}" keepAlive="1" name="Query - Horse Report 2020-7-5 (2)" description="Connection to the 'Horse Report 2020-7-5 (2)' query in the workbook." type="5" refreshedVersion="6" background="1" saveData="1">
    <dbPr connection="Provider=Microsoft.Mashup.OleDb.1;Data Source=$Workbook$;Location=&quot;Horse Report 2020-7-5 (2)&quot;;Extended Properties=&quot;&quot;" command="SELECT * FROM [Horse Report 2020-7-5 (2)]"/>
  </connection>
  <connection id="12" xr16:uid="{06B2DB3D-8DCB-44B5-9E12-75AED82FD347}" keepAlive="1" name="Query - Horse Report 2020-7-8" description="Connection to the 'Horse Report 2020-7-8' query in the workbook." type="5" refreshedVersion="6" background="1" saveData="1">
    <dbPr connection="Provider=Microsoft.Mashup.OleDb.1;Data Source=$Workbook$;Location=&quot;Horse Report 2020-7-8&quot;;Extended Properties=&quot;&quot;" command="SELECT * FROM [Horse Report 2020-7-8]"/>
  </connection>
  <connection id="13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14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<sst xmlns="http://schemas.openxmlformats.org/spreadsheetml/2006/main" count="97" uniqueCount="14">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</sst>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Fund!$A$2:$A$87</c:f>
              <c:strCache>
                <c:ptCount val="8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  <c:pt idx="83">
                  <c:v>2020/7/1</c:v>
                </c:pt>
                <c:pt idx="84">
                  <c:v>2020/7/5</c:v>
                </c:pt>
                <c:pt idx="85">
                  <c:v>2020/7/8</c:v>
                </c:pt>
              </c:strCache>
            </c:strRef>
          </c:cat>
          <c:val>
            <c:numRef>
              <c:f>Fund!$F$2:$F$87</c:f>
              <c:numCache>
                <c:formatCode>"HK$"#,##0.00_);[Red]\("HK$"#,##0.00\)</c:formatCode>
                <c:ptCount val="8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  <c:pt idx="83">
                  <c:v>-5140200</c:v>
                </c:pt>
                <c:pt idx="84">
                  <c:v>-5074200</c:v>
                </c:pt>
                <c:pt idx="85">
                  <c:v>-5290200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5F616C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F87</f>
        <v>-5290200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  <row r="85" spans="1:6">
      <c r="A85" s="6">
        <v>44013</v>
      </c>
      <c r="B85" s="2" t="s">
        <v>10</v>
      </c>
      <c r="C85" s="1">
        <f>2*240000+0*80000</f>
        <v>480000</v>
      </c>
      <c r="D85" s="1">
        <f>Table1[[#This Row],[Bet Value]] + D84</f>
        <v>15440000</v>
      </c>
      <c r="E85" s="1">
        <f>-480000+48000</f>
        <v>-432000</v>
      </c>
      <c r="F85" s="1">
        <f>F84+Table1[[#This Row],[Change]]</f>
        <v>-5140200</v>
      </c>
    </row>
    <row r="86" spans="1:6">
      <c r="A86" s="6">
        <v>44017</v>
      </c>
      <c r="B86" s="2" t="s">
        <v>11</v>
      </c>
      <c r="C86" s="1">
        <f>2*240000+0*80000</f>
        <v>480000</v>
      </c>
      <c r="D86" s="1">
        <f>Table1[[#This Row],[Bet Value]] + D85</f>
        <v>15920000</v>
      </c>
      <c r="E86" s="1">
        <f>42000+24000</f>
        <v>66000</v>
      </c>
      <c r="F86" s="1">
        <f>F85+Table1[[#This Row],[Change]]</f>
        <v>-5074200</v>
      </c>
    </row>
    <row r="87" spans="1:6">
      <c r="A87" s="6">
        <v>44020</v>
      </c>
      <c r="B87" s="2" t="s">
        <v>8</v>
      </c>
      <c r="C87" s="1">
        <f>1*240000+0*80000</f>
        <v>240000</v>
      </c>
      <c r="D87" s="1">
        <f>Table1[[#This Row],[Bet Value]] + D86</f>
        <v>16160000</v>
      </c>
      <c r="E87" s="1">
        <f>-240000+24000</f>
        <v>-216000</v>
      </c>
      <c r="F87" s="1">
        <f>F86+Table1[[#This Row],[Change]]</f>
        <v>-5290200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2020-07-09T17:52:05Z</dcterms:modified>
</cp:coreProperties>
</file>