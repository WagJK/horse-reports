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0" documentId="13_ncr:1_{1CCABF2A-2FD2-4332-8541-B9785ED80BD3}" xr6:coauthVersionLast="45" xr6:coauthVersionMax="45" xr10:uidLastSave="{00000000-0000-0000-0000-000000000000}"/>
  <bookViews>
    <workbookView xWindow="840" yWindow="-120" windowWidth="50880" windowHeight="218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84" i="1"/>
  <c r="C84" i="1"/>
  <c r="E83" i="1" l="1"/>
  <c r="C83" i="1"/>
  <c r="E82" i="1" l="1"/>
  <c r="C82" i="1"/>
  <c r="C81" i="1" l="1"/>
  <c r="E81" i="1"/>
  <c r="E80" i="1" l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A6F30947-9330-46E7-9657-62514C4BB8FB}" keepAlive="1" name="Query - Data Base (2018-2019) (2)" description="Connection to the 'Data Base (2018-2019) (2)' query in the workbook." type="5" refreshedVersion="6" background="1">
    <dbPr connection="Provider=Microsoft.Mashup.OleDb.1;Data Source=$Workbook$;Location=&quot;Data Base (2018-2019) (2)&quot;;Extended Properties=&quot;&quot;" command="SELECT * FROM [Data Base (2018-2019) (2)]"/>
  </connection>
  <connection id="3" xr16:uid="{B966F5DB-7021-4140-80C3-2F24756EC7AA}" keepAlive="1" name="Query - Horse Report 2020-6-27" description="Connection to the 'Horse Report 2020-6-27' query in the workbook." type="5" refreshedVersion="6" background="1" saveData="1">
    <dbPr connection="Provider=Microsoft.Mashup.OleDb.1;Data Source=$Workbook$;Location=&quot;Horse Report 2020-6-27&quot;;Extended Properties=&quot;&quot;" command="SELECT * FROM [Horse Report 2020-6-27]"/>
  </connection>
  <connection id="4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5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<sst xmlns="http://schemas.openxmlformats.org/spreadsheetml/2006/main" count="94" uniqueCount="14">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</sst>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Fund!$A$2:$A$84</c:f>
              <c:strCache>
                <c:ptCount val="83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  <c:pt idx="79">
                  <c:v>2020/6/14</c:v>
                </c:pt>
                <c:pt idx="80">
                  <c:v>2020/6/21</c:v>
                </c:pt>
                <c:pt idx="81">
                  <c:v>2020/6/24</c:v>
                </c:pt>
                <c:pt idx="82">
                  <c:v>2020/6/27</c:v>
                </c:pt>
              </c:strCache>
            </c:strRef>
          </c:cat>
          <c:val>
            <c:numRef>
              <c:f>Fund!$F$2:$F$84</c:f>
              <c:numCache>
                <c:formatCode>"HK$"#,##0.00_);[Red]\("HK$"#,##0.00\)</c:formatCode>
                <c:ptCount val="83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  <c:pt idx="79">
                  <c:v>-4002000</c:v>
                </c:pt>
                <c:pt idx="80">
                  <c:v>-4218000</c:v>
                </c:pt>
                <c:pt idx="81">
                  <c:v>-4492200</c:v>
                </c:pt>
                <c:pt idx="82">
                  <c:v>-4708200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5F616C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F84</f>
        <v>-4708200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  <row r="81" spans="1:6">
      <c r="A81" s="6">
        <v>43996</v>
      </c>
      <c r="B81" s="2" t="s">
        <v>4</v>
      </c>
      <c r="C81" s="1">
        <f>0*240000+0*80000</f>
        <v>0</v>
      </c>
      <c r="D81" s="1">
        <f>Table1[[#This Row],[Bet Value]] + D80</f>
        <v>14000000</v>
      </c>
      <c r="E81" s="1">
        <f>0</f>
        <v>0</v>
      </c>
      <c r="F81" s="1">
        <f>F80+Table1[[#This Row],[Change]]</f>
        <v>-4002000</v>
      </c>
    </row>
    <row r="82" spans="1:6">
      <c r="A82" s="6">
        <v>44003</v>
      </c>
      <c r="B82" s="2" t="s">
        <v>8</v>
      </c>
      <c r="C82" s="1">
        <f>1*240000+0*80000</f>
        <v>240000</v>
      </c>
      <c r="D82" s="1">
        <f>Table1[[#This Row],[Bet Value]] + D81</f>
        <v>14240000</v>
      </c>
      <c r="E82" s="1">
        <f>-240000+24000</f>
        <v>-216000</v>
      </c>
      <c r="F82" s="1">
        <f>F81+Table1[[#This Row],[Change]]</f>
        <v>-4218000</v>
      </c>
    </row>
    <row r="83" spans="1:6">
      <c r="A83" s="6">
        <v>44006</v>
      </c>
      <c r="B83" s="2" t="s">
        <v>11</v>
      </c>
      <c r="C83" s="1">
        <f>2*240000+0*80000</f>
        <v>480000</v>
      </c>
      <c r="D83" s="1">
        <f>Table1[[#This Row],[Bet Value]] + D82</f>
        <v>14720000</v>
      </c>
      <c r="E83" s="1">
        <f>-298200+24000</f>
        <v>-274200</v>
      </c>
      <c r="F83" s="1">
        <f>F82+Table1[[#This Row],[Change]]</f>
        <v>-4492200</v>
      </c>
    </row>
    <row r="84" spans="1:6">
      <c r="A84" s="6">
        <v>44009</v>
      </c>
      <c r="B84" s="2" t="s">
        <v>8</v>
      </c>
      <c r="C84" s="1">
        <f>1*240000+0*80000</f>
        <v>240000</v>
      </c>
      <c r="D84" s="1">
        <f>Table1[[#This Row],[Bet Value]] + D83</f>
        <v>14960000</v>
      </c>
      <c r="E84" s="1">
        <f>-240000+24000</f>
        <v>-216000</v>
      </c>
      <c r="F84" s="1">
        <f>F83+Table1[[#This Row],[Change]]</f>
        <v>-4708200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2020-06-28T21:54:15Z</dcterms:modified>
</cp:coreProperties>
</file>