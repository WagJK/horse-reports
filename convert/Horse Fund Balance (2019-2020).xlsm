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624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fee960b44c02e62/桌面/horse-reports/convert/"/>
    </mc:Choice>
  </mc:AlternateContent>
  <xr:revisionPtr revIDLastSave="187" documentId="6_{CC6BB569-F454-4A10-8C0D-2623DF155D4C}" xr6:coauthVersionLast="45" xr6:coauthVersionMax="45" xr10:uidLastSave="{5C7F23C7-9580-4A65-80D2-C09C628CB793}"/>
  <bookViews>
    <workbookView xWindow="10545" yWindow="3900" windowWidth="38700" windowHeight="15330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" i="1" l="1"/>
  <c r="E68" i="1"/>
  <c r="C68" i="1"/>
  <c r="E67" i="1" l="1"/>
  <c r="C67" i="1"/>
  <c r="C66" i="1" l="1"/>
  <c r="E66" i="1"/>
  <c r="C65" i="1" l="1"/>
  <c r="E65" i="1"/>
  <c r="E64" i="1" l="1"/>
  <c r="C64" i="1"/>
  <c r="E63" i="1" l="1"/>
  <c r="C63" i="1"/>
  <c r="C62" i="1" l="1"/>
  <c r="E62" i="1"/>
  <c r="E61" i="1" l="1"/>
  <c r="C61" i="1"/>
  <c r="C60" i="1" l="1"/>
  <c r="E60" i="1"/>
  <c r="E59" i="1" l="1"/>
  <c r="C59" i="1"/>
  <c r="C58" i="1" l="1"/>
  <c r="E58" i="1"/>
  <c r="E57" i="1" l="1"/>
  <c r="C57" i="1"/>
  <c r="E56" i="1" l="1"/>
  <c r="C56" i="1"/>
  <c r="E55" i="1" l="1"/>
  <c r="C55" i="1"/>
  <c r="E54" i="1" l="1"/>
  <c r="C54" i="1"/>
  <c r="E53" i="1" l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C43" i="1" l="1"/>
  <c r="E43" i="1"/>
  <c r="C42" i="1" l="1"/>
  <c r="E42" i="1"/>
  <c r="E41" i="1" l="1"/>
  <c r="C41" i="1"/>
  <c r="E40" i="1" l="1"/>
  <c r="C40" i="1"/>
  <c r="E39" i="1" l="1"/>
  <c r="C39" i="1"/>
  <c r="C38" i="1" l="1"/>
  <c r="E38" i="1"/>
  <c r="E37" i="1" l="1"/>
  <c r="C37" i="1"/>
  <c r="E36" i="1" l="1"/>
  <c r="C36" i="1"/>
  <c r="C35" i="1" l="1"/>
  <c r="E35" i="1"/>
  <c r="C34" i="1" l="1"/>
  <c r="E34" i="1"/>
  <c r="E33" i="1" l="1"/>
  <c r="C33" i="1"/>
  <c r="C32" i="1" l="1"/>
  <c r="E32" i="1"/>
  <c r="E31" i="1" l="1"/>
  <c r="C31" i="1"/>
  <c r="C30" i="1" l="1"/>
  <c r="E30" i="1"/>
  <c r="E29" i="1" l="1"/>
  <c r="C29" i="1"/>
  <c r="E28" i="1" l="1"/>
  <c r="C28" i="1"/>
  <c r="E27" i="1" l="1"/>
  <c r="C27" i="1"/>
  <c r="E26" i="1" l="1"/>
  <c r="C26" i="1"/>
  <c r="C25" i="1" l="1"/>
  <c r="E25" i="1"/>
  <c r="E24" i="1" l="1"/>
  <c r="C24" i="1"/>
  <c r="E23" i="1" l="1"/>
  <c r="C23" i="1" l="1"/>
  <c r="E22" i="1" l="1"/>
  <c r="C22" i="1"/>
  <c r="E21" i="1" l="1"/>
  <c r="C21" i="1"/>
  <c r="E20" i="1" l="1"/>
  <c r="C20" i="1"/>
  <c r="E19" i="1" l="1"/>
  <c r="C19" i="1"/>
  <c r="C18" i="1" l="1"/>
  <c r="E18" i="1"/>
  <c r="C17" i="1" l="1"/>
  <c r="E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s="1"/>
  <c r="F20" i="1" l="1"/>
  <c r="F21" i="1" l="1"/>
  <c r="F22" i="1" l="1"/>
  <c r="F23" i="1" s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l="1"/>
  <c r="F37" i="1" l="1"/>
  <c r="F38" i="1" l="1"/>
  <c r="F39" i="1" l="1"/>
  <c r="F40" i="1" l="1"/>
  <c r="F41" i="1" l="1"/>
  <c r="F42" i="1" l="1"/>
  <c r="F43" i="1" s="1"/>
  <c r="F44" i="1" l="1"/>
  <c r="F45" i="1" l="1"/>
  <c r="F46" i="1" l="1"/>
  <c r="F47" i="1" l="1"/>
  <c r="F48" i="1" l="1"/>
  <c r="F49" i="1" l="1"/>
  <c r="F50" i="1" l="1"/>
  <c r="F51" i="1" l="1"/>
  <c r="F52" i="1" l="1"/>
  <c r="F53" i="1" l="1"/>
  <c r="F54" i="1" l="1"/>
  <c r="F55" i="1" l="1"/>
  <c r="F56" i="1" l="1"/>
  <c r="F57" i="1" l="1"/>
  <c r="F58" i="1" l="1"/>
  <c r="F59" i="1" l="1"/>
  <c r="F60" i="1" l="1"/>
  <c r="F61" i="1" l="1"/>
  <c r="F62" i="1" l="1"/>
  <c r="F63" i="1" l="1"/>
  <c r="F64" i="1" l="1"/>
  <c r="F65" i="1" l="1"/>
  <c r="F66" i="1" l="1"/>
  <c r="F67" i="1" l="1"/>
  <c r="F68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<sst xmlns="http://schemas.openxmlformats.org/spreadsheetml/2006/main" count="78" uniqueCount="14">
  <si>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</si>
  <si>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</si>
  <si>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</si>
  <si>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</si>
  <si>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</si>
  <si>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</si>
  <si>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</si>
  <si>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</si>
  <si>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</si>
  <si>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</si>
  <si>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</si>
  <si>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</si>
  <si>
    <t>1W-1L</t>
  </si>
  <si>
    <t>1W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</si>
</sst>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9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Fund!$A$2:$A$68</c:f>
              <c:strCache>
                <c:ptCount val="67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  <c:pt idx="12">
                  <c:v>2019/10/20</c:v>
                </c:pt>
                <c:pt idx="13">
                  <c:v>2019/10/23</c:v>
                </c:pt>
                <c:pt idx="14">
                  <c:v>2019/10/27</c:v>
                </c:pt>
                <c:pt idx="15">
                  <c:v>2019/10/30</c:v>
                </c:pt>
                <c:pt idx="16">
                  <c:v>2019/11/3</c:v>
                </c:pt>
                <c:pt idx="17">
                  <c:v>2019/11/6</c:v>
                </c:pt>
                <c:pt idx="18">
                  <c:v>2019/11/9</c:v>
                </c:pt>
                <c:pt idx="19">
                  <c:v>2019/11/17</c:v>
                </c:pt>
                <c:pt idx="20">
                  <c:v>2019/11/20</c:v>
                </c:pt>
                <c:pt idx="21">
                  <c:v>2019/11/23</c:v>
                </c:pt>
                <c:pt idx="22">
                  <c:v>2019/11/27</c:v>
                </c:pt>
                <c:pt idx="23">
                  <c:v>2019/12/1</c:v>
                </c:pt>
                <c:pt idx="24">
                  <c:v>2019/12/4</c:v>
                </c:pt>
                <c:pt idx="25">
                  <c:v>2019/12/8</c:v>
                </c:pt>
                <c:pt idx="26">
                  <c:v>2019/12/11</c:v>
                </c:pt>
                <c:pt idx="27">
                  <c:v>2019/12/15</c:v>
                </c:pt>
                <c:pt idx="28">
                  <c:v>2019/12/18</c:v>
                </c:pt>
                <c:pt idx="29">
                  <c:v>2019/12/21</c:v>
                </c:pt>
                <c:pt idx="30">
                  <c:v>2019/12/26</c:v>
                </c:pt>
                <c:pt idx="31">
                  <c:v>2019/12/29</c:v>
                </c:pt>
                <c:pt idx="32">
                  <c:v>2020/1/1</c:v>
                </c:pt>
                <c:pt idx="33">
                  <c:v>2020/1/5</c:v>
                </c:pt>
                <c:pt idx="34">
                  <c:v>2020/1/8</c:v>
                </c:pt>
                <c:pt idx="35">
                  <c:v>2020/1/11</c:v>
                </c:pt>
                <c:pt idx="36">
                  <c:v>2020/1/15</c:v>
                </c:pt>
                <c:pt idx="37">
                  <c:v>2020/1/19</c:v>
                </c:pt>
                <c:pt idx="38">
                  <c:v>2020/1/22</c:v>
                </c:pt>
                <c:pt idx="39">
                  <c:v>2020/1/27</c:v>
                </c:pt>
                <c:pt idx="40">
                  <c:v>2020/1/29</c:v>
                </c:pt>
                <c:pt idx="41">
                  <c:v>2020/2/2</c:v>
                </c:pt>
                <c:pt idx="42">
                  <c:v>2020/2/5</c:v>
                </c:pt>
                <c:pt idx="43">
                  <c:v>2020/2/8</c:v>
                </c:pt>
                <c:pt idx="44">
                  <c:v>2020/2/12</c:v>
                </c:pt>
                <c:pt idx="45">
                  <c:v>2020/2/16</c:v>
                </c:pt>
                <c:pt idx="46">
                  <c:v>2020/2/19</c:v>
                </c:pt>
                <c:pt idx="47">
                  <c:v>2020/2/23</c:v>
                </c:pt>
                <c:pt idx="48">
                  <c:v>2020/2/26</c:v>
                </c:pt>
                <c:pt idx="49">
                  <c:v>2020/3/1</c:v>
                </c:pt>
                <c:pt idx="50">
                  <c:v>2020/3/4</c:v>
                </c:pt>
                <c:pt idx="51">
                  <c:v>2020/3/8</c:v>
                </c:pt>
                <c:pt idx="52">
                  <c:v>2020/3/11</c:v>
                </c:pt>
                <c:pt idx="53">
                  <c:v>2020/3/14</c:v>
                </c:pt>
                <c:pt idx="54">
                  <c:v>2020/3/18</c:v>
                </c:pt>
                <c:pt idx="55">
                  <c:v>2020/3/22</c:v>
                </c:pt>
                <c:pt idx="56">
                  <c:v>2020/3/25</c:v>
                </c:pt>
                <c:pt idx="57">
                  <c:v>2020/3/29</c:v>
                </c:pt>
                <c:pt idx="58">
                  <c:v>2020/4/1</c:v>
                </c:pt>
                <c:pt idx="59">
                  <c:v>2020/4/5</c:v>
                </c:pt>
                <c:pt idx="60">
                  <c:v>2020/4/8</c:v>
                </c:pt>
                <c:pt idx="61">
                  <c:v>2020/4/12</c:v>
                </c:pt>
                <c:pt idx="62">
                  <c:v>2020/4/15</c:v>
                </c:pt>
                <c:pt idx="63">
                  <c:v>2020/4/19</c:v>
                </c:pt>
                <c:pt idx="64">
                  <c:v>2020/4/22</c:v>
                </c:pt>
                <c:pt idx="65">
                  <c:v>2020/4/26</c:v>
                </c:pt>
                <c:pt idx="66">
                  <c:v>2020/4/29</c:v>
                </c:pt>
              </c:strCache>
            </c:strRef>
          </c:cat>
          <c:val>
            <c:numRef>
              <c:f>Fund!$F$2:$F$68</c:f>
              <c:numCache>
                <c:formatCode>"HK$"#,##0.00_);[Red]\("HK$"#,##0.00\)</c:formatCode>
                <c:ptCount val="67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  <c:pt idx="12">
                  <c:v>-2574000</c:v>
                </c:pt>
                <c:pt idx="13">
                  <c:v>-2565000</c:v>
                </c:pt>
                <c:pt idx="14">
                  <c:v>-2565000</c:v>
                </c:pt>
                <c:pt idx="15">
                  <c:v>-2565000</c:v>
                </c:pt>
                <c:pt idx="16">
                  <c:v>-2565000</c:v>
                </c:pt>
                <c:pt idx="17">
                  <c:v>-2418000</c:v>
                </c:pt>
                <c:pt idx="18">
                  <c:v>-2850000</c:v>
                </c:pt>
                <c:pt idx="19">
                  <c:v>-2850000</c:v>
                </c:pt>
                <c:pt idx="20">
                  <c:v>-3282000</c:v>
                </c:pt>
                <c:pt idx="21">
                  <c:v>-3099000</c:v>
                </c:pt>
                <c:pt idx="22">
                  <c:v>-3315000</c:v>
                </c:pt>
                <c:pt idx="23">
                  <c:v>-3531000</c:v>
                </c:pt>
                <c:pt idx="24">
                  <c:v>-3531000</c:v>
                </c:pt>
                <c:pt idx="25">
                  <c:v>-3819000</c:v>
                </c:pt>
                <c:pt idx="26">
                  <c:v>-4035000</c:v>
                </c:pt>
                <c:pt idx="27">
                  <c:v>-4035000</c:v>
                </c:pt>
                <c:pt idx="28">
                  <c:v>-4035000</c:v>
                </c:pt>
                <c:pt idx="29">
                  <c:v>-4251000</c:v>
                </c:pt>
                <c:pt idx="30">
                  <c:v>-4467000</c:v>
                </c:pt>
                <c:pt idx="31">
                  <c:v>-4467000</c:v>
                </c:pt>
                <c:pt idx="32">
                  <c:v>-4467000</c:v>
                </c:pt>
                <c:pt idx="33">
                  <c:v>-4467000</c:v>
                </c:pt>
                <c:pt idx="34">
                  <c:v>-4338000</c:v>
                </c:pt>
                <c:pt idx="35">
                  <c:v>-4338000</c:v>
                </c:pt>
                <c:pt idx="36">
                  <c:v>-4338000</c:v>
                </c:pt>
                <c:pt idx="37">
                  <c:v>-3651000</c:v>
                </c:pt>
                <c:pt idx="38">
                  <c:v>-3867000</c:v>
                </c:pt>
                <c:pt idx="39">
                  <c:v>-3867000</c:v>
                </c:pt>
                <c:pt idx="40">
                  <c:v>-3867000</c:v>
                </c:pt>
                <c:pt idx="41">
                  <c:v>-3867000</c:v>
                </c:pt>
                <c:pt idx="42">
                  <c:v>-3867000</c:v>
                </c:pt>
                <c:pt idx="43">
                  <c:v>-4155000</c:v>
                </c:pt>
                <c:pt idx="44">
                  <c:v>-4371000</c:v>
                </c:pt>
                <c:pt idx="45">
                  <c:v>-4371000</c:v>
                </c:pt>
                <c:pt idx="46">
                  <c:v>-4305000</c:v>
                </c:pt>
                <c:pt idx="47">
                  <c:v>-3045000</c:v>
                </c:pt>
                <c:pt idx="48">
                  <c:v>-3621000</c:v>
                </c:pt>
                <c:pt idx="49">
                  <c:v>-3909000</c:v>
                </c:pt>
                <c:pt idx="50">
                  <c:v>-3909000</c:v>
                </c:pt>
                <c:pt idx="51">
                  <c:v>-4125000</c:v>
                </c:pt>
                <c:pt idx="52">
                  <c:v>-4125000</c:v>
                </c:pt>
                <c:pt idx="53">
                  <c:v>-4059000</c:v>
                </c:pt>
                <c:pt idx="54">
                  <c:v>-3966000</c:v>
                </c:pt>
                <c:pt idx="55">
                  <c:v>-3966000</c:v>
                </c:pt>
                <c:pt idx="56">
                  <c:v>-3966000</c:v>
                </c:pt>
                <c:pt idx="57">
                  <c:v>-4182000</c:v>
                </c:pt>
                <c:pt idx="58">
                  <c:v>-4398000</c:v>
                </c:pt>
                <c:pt idx="59">
                  <c:v>-4398000</c:v>
                </c:pt>
                <c:pt idx="60">
                  <c:v>-4398000</c:v>
                </c:pt>
                <c:pt idx="61">
                  <c:v>-4269000</c:v>
                </c:pt>
                <c:pt idx="62">
                  <c:v>-4485000</c:v>
                </c:pt>
                <c:pt idx="63">
                  <c:v>-4701000</c:v>
                </c:pt>
                <c:pt idx="64">
                  <c:v>-4917000</c:v>
                </c:pt>
                <c:pt idx="65">
                  <c:v>-4323000</c:v>
                </c:pt>
                <c:pt idx="66">
                  <c:v>-4323000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6000000"/>
          <c:min val="-6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68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68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F68</f>
        <v>-4323000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  <row r="14" spans="1:9">
      <c r="A14" s="6">
        <v>43758</v>
      </c>
      <c r="B14" s="2" t="s">
        <v>9</v>
      </c>
      <c r="C14" s="1">
        <f>1*240000+0*80000</f>
        <v>240000</v>
      </c>
      <c r="D14" s="1">
        <f>Table1[[#This Row],[Bet Value]] + D13</f>
        <v>3760000</v>
      </c>
      <c r="E14" s="1">
        <f>84000+0</f>
        <v>84000</v>
      </c>
      <c r="F14" s="1">
        <f>F13+Table1[[#This Row],[Change]]</f>
        <v>-2574000</v>
      </c>
    </row>
    <row r="15" spans="1:9">
      <c r="A15" s="6">
        <v>43761</v>
      </c>
      <c r="B15" s="2" t="s">
        <v>12</v>
      </c>
      <c r="C15" s="1">
        <f>2*240000+0*80000</f>
        <v>480000</v>
      </c>
      <c r="D15" s="1">
        <f>Table1[[#This Row],[Bet Value]] + D14</f>
        <v>4240000</v>
      </c>
      <c r="E15" s="1">
        <f>-15000+24000</f>
        <v>9000</v>
      </c>
      <c r="F15" s="1">
        <f>F14+Table1[[#This Row],[Change]]</f>
        <v>-2565000</v>
      </c>
    </row>
    <row r="16" spans="1:9">
      <c r="A16" s="6">
        <v>43765</v>
      </c>
      <c r="B16" s="2" t="s">
        <v>4</v>
      </c>
      <c r="C16" s="1">
        <f>0*240000+0*80000</f>
        <v>0</v>
      </c>
      <c r="D16" s="1">
        <f>Table1[[#This Row],[Bet Value]] + D15</f>
        <v>4240000</v>
      </c>
      <c r="E16" s="1">
        <f>0+0</f>
        <v>0</v>
      </c>
      <c r="F16" s="1">
        <f>F15+Table1[[#This Row],[Change]]</f>
        <v>-2565000</v>
      </c>
    </row>
    <row r="17" spans="1:6">
      <c r="A17" s="6">
        <v>43768</v>
      </c>
      <c r="B17" s="2" t="s">
        <v>4</v>
      </c>
      <c r="C17" s="1">
        <f>0*240000+0*80000</f>
        <v>0</v>
      </c>
      <c r="D17" s="1">
        <f>Table1[[#This Row],[Bet Value]] + D16</f>
        <v>4240000</v>
      </c>
      <c r="E17" s="1">
        <f>0+0</f>
        <v>0</v>
      </c>
      <c r="F17" s="1">
        <f>F16+Table1[[#This Row],[Change]]</f>
        <v>-2565000</v>
      </c>
    </row>
    <row r="18" spans="1:6">
      <c r="A18" s="6">
        <v>43772</v>
      </c>
      <c r="B18" s="2" t="s">
        <v>4</v>
      </c>
      <c r="C18" s="1">
        <f>0*240000+0*80000</f>
        <v>0</v>
      </c>
      <c r="D18" s="1">
        <f>Table1[[#This Row],[Bet Value]] + D17</f>
        <v>4240000</v>
      </c>
      <c r="E18" s="1">
        <f>0+0</f>
        <v>0</v>
      </c>
      <c r="F18" s="1">
        <f>F17+Table1[[#This Row],[Change]]</f>
        <v>-2565000</v>
      </c>
    </row>
    <row r="19" spans="1:6">
      <c r="A19" s="6">
        <v>43775</v>
      </c>
      <c r="B19" s="2" t="s">
        <v>9</v>
      </c>
      <c r="C19" s="1">
        <f>1*240000+0*80000</f>
        <v>240000</v>
      </c>
      <c r="D19" s="1">
        <f>Table1[[#This Row],[Bet Value]] + D18</f>
        <v>4480000</v>
      </c>
      <c r="E19" s="1">
        <f>147000+0</f>
        <v>147000</v>
      </c>
      <c r="F19" s="1">
        <f>F18+Table1[[#This Row],[Change]]</f>
        <v>-2418000</v>
      </c>
    </row>
    <row r="20" spans="1:6">
      <c r="A20" s="6">
        <v>43778</v>
      </c>
      <c r="B20" s="2" t="s">
        <v>10</v>
      </c>
      <c r="C20" s="1">
        <f>2*240000+0*80000</f>
        <v>480000</v>
      </c>
      <c r="D20" s="1">
        <f>Table1[[#This Row],[Bet Value]] + D19</f>
        <v>4960000</v>
      </c>
      <c r="E20" s="1">
        <f>-480000+48000</f>
        <v>-432000</v>
      </c>
      <c r="F20" s="1">
        <f>F19+Table1[[#This Row],[Change]]</f>
        <v>-2850000</v>
      </c>
    </row>
    <row r="21" spans="1:6">
      <c r="A21" s="6">
        <v>43786</v>
      </c>
      <c r="B21" s="2" t="s">
        <v>4</v>
      </c>
      <c r="C21" s="1">
        <f>0*240000+0*80000</f>
        <v>0</v>
      </c>
      <c r="D21" s="1">
        <f>Table1[[#This Row],[Bet Value]] + D20</f>
        <v>4960000</v>
      </c>
      <c r="E21" s="1">
        <f>0+0</f>
        <v>0</v>
      </c>
      <c r="F21" s="1">
        <f>F20+Table1[[#This Row],[Change]]</f>
        <v>-2850000</v>
      </c>
    </row>
    <row r="22" spans="1:6">
      <c r="A22" s="6">
        <v>43789</v>
      </c>
      <c r="B22" s="2" t="s">
        <v>10</v>
      </c>
      <c r="C22" s="1">
        <f>2*240000+0*80000</f>
        <v>480000</v>
      </c>
      <c r="D22" s="1">
        <f>Table1[[#This Row],[Bet Value]] + D21</f>
        <v>5440000</v>
      </c>
      <c r="E22" s="1">
        <f>-480000+48000</f>
        <v>-432000</v>
      </c>
      <c r="F22" s="1">
        <f>F21+Table1[[#This Row],[Change]]</f>
        <v>-3282000</v>
      </c>
    </row>
    <row r="23" spans="1:6">
      <c r="A23" s="6">
        <v>43792</v>
      </c>
      <c r="B23" s="2" t="s">
        <v>9</v>
      </c>
      <c r="C23" s="1">
        <f>1*240000+0*80000</f>
        <v>240000</v>
      </c>
      <c r="D23" s="1">
        <f>Table1[[#This Row],[Bet Value]] + D22</f>
        <v>5680000</v>
      </c>
      <c r="E23" s="1">
        <f>183000+0</f>
        <v>183000</v>
      </c>
      <c r="F23" s="1">
        <f>F22+Table1[[#This Row],[Change]]</f>
        <v>-3099000</v>
      </c>
    </row>
    <row r="24" spans="1:6">
      <c r="A24" s="6">
        <v>43796</v>
      </c>
      <c r="B24" s="2" t="s">
        <v>8</v>
      </c>
      <c r="C24" s="1">
        <f>1*240000+0*80000</f>
        <v>240000</v>
      </c>
      <c r="D24" s="1">
        <f>Table1[[#This Row],[Bet Value]] + D23</f>
        <v>5920000</v>
      </c>
      <c r="E24" s="1">
        <f>-240000+24000</f>
        <v>-216000</v>
      </c>
      <c r="F24" s="1">
        <f>F23+Table1[[#This Row],[Change]]</f>
        <v>-3315000</v>
      </c>
    </row>
    <row r="25" spans="1:6">
      <c r="A25" s="6">
        <v>43800</v>
      </c>
      <c r="B25" s="2" t="s">
        <v>8</v>
      </c>
      <c r="C25" s="1">
        <f>1*240000+0*80000</f>
        <v>240000</v>
      </c>
      <c r="D25" s="1">
        <f>Table1[[#This Row],[Bet Value]] + D24</f>
        <v>6160000</v>
      </c>
      <c r="E25" s="1">
        <f>-240000+24000</f>
        <v>-216000</v>
      </c>
      <c r="F25" s="1">
        <f>F24+Table1[[#This Row],[Change]]</f>
        <v>-3531000</v>
      </c>
    </row>
    <row r="26" spans="1:6">
      <c r="A26" s="6">
        <v>43803</v>
      </c>
      <c r="B26" s="2" t="s">
        <v>4</v>
      </c>
      <c r="C26" s="1">
        <f>0*240000+0*80000</f>
        <v>0</v>
      </c>
      <c r="D26" s="1">
        <f>Table1[[#This Row],[Bet Value]] + D25</f>
        <v>6160000</v>
      </c>
      <c r="E26" s="1">
        <f>0+0</f>
        <v>0</v>
      </c>
      <c r="F26" s="1">
        <f>F25+Table1[[#This Row],[Change]]</f>
        <v>-3531000</v>
      </c>
    </row>
    <row r="27" spans="1:6">
      <c r="A27" s="6">
        <v>43807</v>
      </c>
      <c r="B27" s="2" t="s">
        <v>8</v>
      </c>
      <c r="C27" s="1">
        <f>1*240000+1*80000</f>
        <v>320000</v>
      </c>
      <c r="D27" s="1">
        <f>Table1[[#This Row],[Bet Value]] + D26</f>
        <v>6480000</v>
      </c>
      <c r="E27" s="1">
        <f>-320000+32000</f>
        <v>-288000</v>
      </c>
      <c r="F27" s="1">
        <f>F26+Table1[[#This Row],[Change]]</f>
        <v>-3819000</v>
      </c>
    </row>
    <row r="28" spans="1:6">
      <c r="A28" s="6">
        <v>43810</v>
      </c>
      <c r="B28" s="2" t="s">
        <v>8</v>
      </c>
      <c r="C28" s="1">
        <f>1*240000+0*80000</f>
        <v>240000</v>
      </c>
      <c r="D28" s="1">
        <f>Table1[[#This Row],[Bet Value]] + D27</f>
        <v>6720000</v>
      </c>
      <c r="E28" s="1">
        <f>-240000+24000</f>
        <v>-216000</v>
      </c>
      <c r="F28" s="1">
        <f>F27+Table1[[#This Row],[Change]]</f>
        <v>-4035000</v>
      </c>
    </row>
    <row r="29" spans="1:6">
      <c r="A29" s="6">
        <v>43814</v>
      </c>
      <c r="B29" s="2" t="s">
        <v>4</v>
      </c>
      <c r="C29" s="1">
        <f>0*240000+0*80000</f>
        <v>0</v>
      </c>
      <c r="D29" s="1">
        <f>Table1[[#This Row],[Bet Value]] + D28</f>
        <v>6720000</v>
      </c>
      <c r="E29" s="1">
        <f>0+0</f>
        <v>0</v>
      </c>
      <c r="F29" s="1">
        <f>F28+Table1[[#This Row],[Change]]</f>
        <v>-4035000</v>
      </c>
    </row>
    <row r="30" spans="1:6">
      <c r="A30" s="6">
        <v>43817</v>
      </c>
      <c r="B30" s="2" t="s">
        <v>4</v>
      </c>
      <c r="C30" s="1">
        <f>0*240000+0*80000</f>
        <v>0</v>
      </c>
      <c r="D30" s="1">
        <f>Table1[[#This Row],[Bet Value]] + D29</f>
        <v>6720000</v>
      </c>
      <c r="E30" s="1">
        <f>0+0</f>
        <v>0</v>
      </c>
      <c r="F30" s="1">
        <f>F29+Table1[[#This Row],[Change]]</f>
        <v>-4035000</v>
      </c>
    </row>
    <row r="31" spans="1:6">
      <c r="A31" s="6">
        <v>43820</v>
      </c>
      <c r="B31" s="2" t="s">
        <v>8</v>
      </c>
      <c r="C31" s="1">
        <f>1*240000+0*80000</f>
        <v>240000</v>
      </c>
      <c r="D31" s="1">
        <f>Table1[[#This Row],[Bet Value]] + D30</f>
        <v>6960000</v>
      </c>
      <c r="E31" s="1">
        <f>-240000+24000</f>
        <v>-216000</v>
      </c>
      <c r="F31" s="1">
        <f>F30+Table1[[#This Row],[Change]]</f>
        <v>-4251000</v>
      </c>
    </row>
    <row r="32" spans="1:6">
      <c r="A32" s="6">
        <v>43825</v>
      </c>
      <c r="B32" s="2" t="s">
        <v>8</v>
      </c>
      <c r="C32" s="1">
        <f>1*240000+0*80000</f>
        <v>240000</v>
      </c>
      <c r="D32" s="1">
        <f>Table1[[#This Row],[Bet Value]] + D31</f>
        <v>7200000</v>
      </c>
      <c r="E32" s="1">
        <f>-240000+24000</f>
        <v>-216000</v>
      </c>
      <c r="F32" s="1">
        <f>F31+Table1[[#This Row],[Change]]</f>
        <v>-4467000</v>
      </c>
    </row>
    <row r="33" spans="1:6">
      <c r="A33" s="6">
        <v>43828</v>
      </c>
      <c r="B33" s="2" t="s">
        <v>4</v>
      </c>
      <c r="C33" s="1">
        <f>0*240000+0*80000</f>
        <v>0</v>
      </c>
      <c r="D33" s="1">
        <f>Table1[[#This Row],[Bet Value]] + D32</f>
        <v>7200000</v>
      </c>
      <c r="E33" s="1">
        <f>0</f>
        <v>0</v>
      </c>
      <c r="F33" s="1">
        <f>F32+Table1[[#This Row],[Change]]</f>
        <v>-4467000</v>
      </c>
    </row>
    <row r="34" spans="1:6">
      <c r="A34" s="6">
        <v>43831</v>
      </c>
      <c r="B34" s="2" t="s">
        <v>4</v>
      </c>
      <c r="C34" s="1">
        <f>0*240000+0*80000</f>
        <v>0</v>
      </c>
      <c r="D34" s="1">
        <f>Table1[[#This Row],[Bet Value]] + D33</f>
        <v>7200000</v>
      </c>
      <c r="E34" s="1">
        <f>0</f>
        <v>0</v>
      </c>
      <c r="F34" s="1">
        <f>F33+Table1[[#This Row],[Change]]</f>
        <v>-4467000</v>
      </c>
    </row>
    <row r="35" spans="1:6">
      <c r="A35" s="6">
        <v>43835</v>
      </c>
      <c r="B35" s="2" t="s">
        <v>4</v>
      </c>
      <c r="C35" s="1">
        <f>0*240000+0*80000</f>
        <v>0</v>
      </c>
      <c r="D35" s="1">
        <f>Table1[[#This Row],[Bet Value]] + D34</f>
        <v>7200000</v>
      </c>
      <c r="E35" s="1">
        <f>0</f>
        <v>0</v>
      </c>
      <c r="F35" s="1">
        <f>F34+Table1[[#This Row],[Change]]</f>
        <v>-4467000</v>
      </c>
    </row>
    <row r="36" spans="1:6">
      <c r="A36" s="6">
        <v>43838</v>
      </c>
      <c r="B36" s="2" t="s">
        <v>9</v>
      </c>
      <c r="C36" s="1">
        <f>1*240000+0*80000</f>
        <v>240000</v>
      </c>
      <c r="D36" s="1">
        <f>Table1[[#This Row],[Bet Value]] + D35</f>
        <v>7440000</v>
      </c>
      <c r="E36" s="1">
        <f>129000+0</f>
        <v>129000</v>
      </c>
      <c r="F36" s="1">
        <f>F35+Table1[[#This Row],[Change]]</f>
        <v>-4338000</v>
      </c>
    </row>
    <row r="37" spans="1:6">
      <c r="A37" s="6">
        <v>43841</v>
      </c>
      <c r="B37" s="2" t="s">
        <v>4</v>
      </c>
      <c r="C37" s="1">
        <f>0*240000+0*80000</f>
        <v>0</v>
      </c>
      <c r="D37" s="1">
        <f>Table1[[#This Row],[Bet Value]] + D36</f>
        <v>7440000</v>
      </c>
      <c r="E37" s="1">
        <f>0</f>
        <v>0</v>
      </c>
      <c r="F37" s="1">
        <f>F36+Table1[[#This Row],[Change]]</f>
        <v>-4338000</v>
      </c>
    </row>
    <row r="38" spans="1:6">
      <c r="A38" s="6">
        <v>43845</v>
      </c>
      <c r="B38" s="2" t="s">
        <v>4</v>
      </c>
      <c r="C38" s="1">
        <f>0*240000+0*80000</f>
        <v>0</v>
      </c>
      <c r="D38" s="1">
        <f>Table1[[#This Row],[Bet Value]] + D37</f>
        <v>7440000</v>
      </c>
      <c r="E38" s="1">
        <f>0</f>
        <v>0</v>
      </c>
      <c r="F38" s="1">
        <f>F37+Table1[[#This Row],[Change]]</f>
        <v>-4338000</v>
      </c>
    </row>
    <row r="39" spans="1:6">
      <c r="A39" s="6">
        <v>43849</v>
      </c>
      <c r="B39" s="2" t="s">
        <v>9</v>
      </c>
      <c r="C39" s="1">
        <f>1*240000+0*80000</f>
        <v>240000</v>
      </c>
      <c r="D39" s="1">
        <f>Table1[[#This Row],[Bet Value]] + D38</f>
        <v>7680000</v>
      </c>
      <c r="E39" s="1">
        <f>687000+0</f>
        <v>687000</v>
      </c>
      <c r="F39" s="1">
        <f>F38+Table1[[#This Row],[Change]]</f>
        <v>-3651000</v>
      </c>
    </row>
    <row r="40" spans="1:6">
      <c r="A40" s="6">
        <v>43852</v>
      </c>
      <c r="B40" s="2" t="s">
        <v>8</v>
      </c>
      <c r="C40" s="1">
        <f>1*240000+0*80000</f>
        <v>240000</v>
      </c>
      <c r="D40" s="1">
        <f>Table1[[#This Row],[Bet Value]] + D39</f>
        <v>7920000</v>
      </c>
      <c r="E40" s="1">
        <f>-240000+24000</f>
        <v>-216000</v>
      </c>
      <c r="F40" s="1">
        <f>F39+Table1[[#This Row],[Change]]</f>
        <v>-3867000</v>
      </c>
    </row>
    <row r="41" spans="1:6">
      <c r="A41" s="6">
        <v>43857</v>
      </c>
      <c r="B41" s="2" t="s">
        <v>4</v>
      </c>
      <c r="C41" s="1">
        <f>0*240000+0*80000</f>
        <v>0</v>
      </c>
      <c r="D41" s="1">
        <f>Table1[[#This Row],[Bet Value]] + D40</f>
        <v>7920000</v>
      </c>
      <c r="E41" s="1">
        <f>0+0</f>
        <v>0</v>
      </c>
      <c r="F41" s="1">
        <f>F40+Table1[[#This Row],[Change]]</f>
        <v>-3867000</v>
      </c>
    </row>
    <row r="42" spans="1:6">
      <c r="A42" s="6">
        <v>43859</v>
      </c>
      <c r="B42" s="2" t="s">
        <v>4</v>
      </c>
      <c r="C42" s="1">
        <f>0*240000+0*80000</f>
        <v>0</v>
      </c>
      <c r="D42" s="1">
        <f>Table1[[#This Row],[Bet Value]] + D41</f>
        <v>7920000</v>
      </c>
      <c r="E42" s="1">
        <f>0+0</f>
        <v>0</v>
      </c>
      <c r="F42" s="1">
        <f>F41+Table1[[#This Row],[Change]]</f>
        <v>-3867000</v>
      </c>
    </row>
    <row r="43" spans="1:6">
      <c r="A43" s="6">
        <v>43863</v>
      </c>
      <c r="B43" s="2" t="s">
        <v>4</v>
      </c>
      <c r="C43" s="1">
        <f>0*240000+0*80000</f>
        <v>0</v>
      </c>
      <c r="D43" s="1">
        <f>Table1[[#This Row],[Bet Value]] + D42</f>
        <v>7920000</v>
      </c>
      <c r="E43" s="1">
        <f>0+0</f>
        <v>0</v>
      </c>
      <c r="F43" s="1">
        <f>F42+Table1[[#This Row],[Change]]</f>
        <v>-3867000</v>
      </c>
    </row>
    <row r="44" spans="1:6">
      <c r="A44" s="6">
        <v>43866</v>
      </c>
      <c r="B44" s="2" t="s">
        <v>4</v>
      </c>
      <c r="C44" s="1">
        <f>0*240000+0*80000</f>
        <v>0</v>
      </c>
      <c r="D44" s="1">
        <f>Table1[[#This Row],[Bet Value]] + D43</f>
        <v>7920000</v>
      </c>
      <c r="E44" s="1">
        <f>0+0</f>
        <v>0</v>
      </c>
      <c r="F44" s="1">
        <f>F43+Table1[[#This Row],[Change]]</f>
        <v>-3867000</v>
      </c>
    </row>
    <row r="45" spans="1:6">
      <c r="A45" s="6">
        <v>43869</v>
      </c>
      <c r="B45" s="2" t="s">
        <v>8</v>
      </c>
      <c r="C45" s="1">
        <f>1*240000+1*80000</f>
        <v>320000</v>
      </c>
      <c r="D45" s="1">
        <f>Table1[[#This Row],[Bet Value]] + D44</f>
        <v>8240000</v>
      </c>
      <c r="E45" s="1">
        <f>-320000+32000</f>
        <v>-288000</v>
      </c>
      <c r="F45" s="1">
        <f>F44+Table1[[#This Row],[Change]]</f>
        <v>-4155000</v>
      </c>
    </row>
    <row r="46" spans="1:6">
      <c r="A46" s="6">
        <v>43873</v>
      </c>
      <c r="B46" s="2" t="s">
        <v>8</v>
      </c>
      <c r="C46" s="1">
        <f>1*240000+0*80000</f>
        <v>240000</v>
      </c>
      <c r="D46" s="1">
        <f>Table1[[#This Row],[Bet Value]] + D45</f>
        <v>8480000</v>
      </c>
      <c r="E46" s="1">
        <f>-240000+24000</f>
        <v>-216000</v>
      </c>
      <c r="F46" s="1">
        <f>F45+Table1[[#This Row],[Change]]</f>
        <v>-4371000</v>
      </c>
    </row>
    <row r="47" spans="1:6">
      <c r="A47" s="6">
        <v>43877</v>
      </c>
      <c r="B47" s="2" t="s">
        <v>8</v>
      </c>
      <c r="C47" s="1">
        <f>0*240000+0*80000</f>
        <v>0</v>
      </c>
      <c r="D47" s="1">
        <f>Table1[[#This Row],[Bet Value]] + D46</f>
        <v>8480000</v>
      </c>
      <c r="E47" s="1">
        <f>0</f>
        <v>0</v>
      </c>
      <c r="F47" s="1">
        <f>F46+Table1[[#This Row],[Change]]</f>
        <v>-4371000</v>
      </c>
    </row>
    <row r="48" spans="1:6">
      <c r="A48" s="6">
        <v>43880</v>
      </c>
      <c r="B48" s="2" t="s">
        <v>9</v>
      </c>
      <c r="C48" s="1">
        <f>1*240000+0*80000</f>
        <v>240000</v>
      </c>
      <c r="D48" s="1">
        <f>Table1[[#This Row],[Bet Value]] + D47</f>
        <v>8720000</v>
      </c>
      <c r="E48" s="1">
        <f>66000+0</f>
        <v>66000</v>
      </c>
      <c r="F48" s="1">
        <f>F47+Table1[[#This Row],[Change]]</f>
        <v>-4305000</v>
      </c>
    </row>
    <row r="49" spans="1:6">
      <c r="A49" s="6">
        <v>43884</v>
      </c>
      <c r="B49" s="2" t="s">
        <v>13</v>
      </c>
      <c r="C49" s="1">
        <f>1*240000+0*80000</f>
        <v>240000</v>
      </c>
      <c r="D49" s="1">
        <f>Table1[[#This Row],[Bet Value]] + D48</f>
        <v>8960000</v>
      </c>
      <c r="E49" s="1">
        <f>1260000+0</f>
        <v>1260000</v>
      </c>
      <c r="F49" s="1">
        <f>F48+Table1[[#This Row],[Change]]</f>
        <v>-3045000</v>
      </c>
    </row>
    <row r="50" spans="1:6">
      <c r="A50" s="6">
        <v>43887</v>
      </c>
      <c r="B50" s="2" t="s">
        <v>10</v>
      </c>
      <c r="C50" s="1">
        <f>2*240000+2*80000</f>
        <v>640000</v>
      </c>
      <c r="D50" s="1">
        <f>Table1[[#This Row],[Bet Value]] + D49</f>
        <v>9600000</v>
      </c>
      <c r="E50" s="1">
        <f>-640000+64000</f>
        <v>-576000</v>
      </c>
      <c r="F50" s="1">
        <f>F49+Table1[[#This Row],[Change]]</f>
        <v>-3621000</v>
      </c>
    </row>
    <row r="51" spans="1:6">
      <c r="A51" s="6">
        <v>43891</v>
      </c>
      <c r="B51" s="2" t="s">
        <v>8</v>
      </c>
      <c r="C51" s="1">
        <f>1*240000+1*80000</f>
        <v>320000</v>
      </c>
      <c r="D51" s="1">
        <f>Table1[[#This Row],[Bet Value]] + D50</f>
        <v>9920000</v>
      </c>
      <c r="E51" s="1">
        <f>-320000+32000</f>
        <v>-288000</v>
      </c>
      <c r="F51" s="1">
        <f>F50+Table1[[#This Row],[Change]]</f>
        <v>-3909000</v>
      </c>
    </row>
    <row r="52" spans="1:6">
      <c r="A52" s="6">
        <v>43894</v>
      </c>
      <c r="B52" s="2" t="s">
        <v>4</v>
      </c>
      <c r="C52" s="1">
        <f>0*240000+0*80000</f>
        <v>0</v>
      </c>
      <c r="D52" s="1">
        <f>Table1[[#This Row],[Bet Value]] + D51</f>
        <v>9920000</v>
      </c>
      <c r="E52" s="1">
        <f>0</f>
        <v>0</v>
      </c>
      <c r="F52" s="1">
        <f>F51+Table1[[#This Row],[Change]]</f>
        <v>-3909000</v>
      </c>
    </row>
    <row r="53" spans="1:6">
      <c r="A53" s="6">
        <v>43898</v>
      </c>
      <c r="B53" s="2" t="s">
        <v>8</v>
      </c>
      <c r="C53" s="1">
        <f>1*240000+0*80000</f>
        <v>240000</v>
      </c>
      <c r="D53" s="1">
        <f>Table1[[#This Row],[Bet Value]] + D52</f>
        <v>10160000</v>
      </c>
      <c r="E53" s="1">
        <f>-240000+24000</f>
        <v>-216000</v>
      </c>
      <c r="F53" s="1">
        <f>F52+Table1[[#This Row],[Change]]</f>
        <v>-4125000</v>
      </c>
    </row>
    <row r="54" spans="1:6">
      <c r="A54" s="6">
        <v>43901</v>
      </c>
      <c r="B54" s="2" t="s">
        <v>4</v>
      </c>
      <c r="C54" s="1">
        <f>0*240000+0*80000</f>
        <v>0</v>
      </c>
      <c r="D54" s="1">
        <f>Table1[[#This Row],[Bet Value]] + D53</f>
        <v>10160000</v>
      </c>
      <c r="E54" s="1">
        <f>0</f>
        <v>0</v>
      </c>
      <c r="F54" s="1">
        <f>F53+Table1[[#This Row],[Change]]</f>
        <v>-4125000</v>
      </c>
    </row>
    <row r="55" spans="1:6">
      <c r="A55" s="6">
        <v>43904</v>
      </c>
      <c r="B55" s="2" t="s">
        <v>9</v>
      </c>
      <c r="C55" s="1">
        <f>1*240000+0*80000</f>
        <v>240000</v>
      </c>
      <c r="D55" s="1">
        <f>Table1[[#This Row],[Bet Value]] + D54</f>
        <v>10400000</v>
      </c>
      <c r="E55" s="1">
        <f>66000+0</f>
        <v>66000</v>
      </c>
      <c r="F55" s="1">
        <f>F54+Table1[[#This Row],[Change]]</f>
        <v>-4059000</v>
      </c>
    </row>
    <row r="56" spans="1:6">
      <c r="A56" s="6">
        <v>43908</v>
      </c>
      <c r="B56" s="2" t="s">
        <v>9</v>
      </c>
      <c r="C56" s="1">
        <f>1*240000+0*80000</f>
        <v>240000</v>
      </c>
      <c r="D56" s="1">
        <f>Table1[[#This Row],[Bet Value]] + D55</f>
        <v>10640000</v>
      </c>
      <c r="E56" s="1">
        <f>93000+0</f>
        <v>93000</v>
      </c>
      <c r="F56" s="1">
        <f>F55+Table1[[#This Row],[Change]]</f>
        <v>-3966000</v>
      </c>
    </row>
    <row r="57" spans="1:6">
      <c r="A57" s="6">
        <v>43912</v>
      </c>
      <c r="B57" s="2" t="s">
        <v>4</v>
      </c>
      <c r="C57" s="1">
        <f>0*240000+0*80000</f>
        <v>0</v>
      </c>
      <c r="D57" s="1">
        <f>Table1[[#This Row],[Bet Value]] + D56</f>
        <v>10640000</v>
      </c>
      <c r="E57" s="1">
        <f>0+0</f>
        <v>0</v>
      </c>
      <c r="F57" s="1">
        <f>F56+Table1[[#This Row],[Change]]</f>
        <v>-3966000</v>
      </c>
    </row>
    <row r="58" spans="1:6">
      <c r="A58" s="6">
        <v>43915</v>
      </c>
      <c r="B58" s="2" t="s">
        <v>4</v>
      </c>
      <c r="C58" s="1">
        <f>0*240000+0*80000</f>
        <v>0</v>
      </c>
      <c r="D58" s="1">
        <f>Table1[[#This Row],[Bet Value]] + D57</f>
        <v>10640000</v>
      </c>
      <c r="E58" s="1">
        <f>0+0</f>
        <v>0</v>
      </c>
      <c r="F58" s="1">
        <f>F57+Table1[[#This Row],[Change]]</f>
        <v>-3966000</v>
      </c>
    </row>
    <row r="59" spans="1:6">
      <c r="A59" s="6">
        <v>43919</v>
      </c>
      <c r="B59" s="2" t="s">
        <v>8</v>
      </c>
      <c r="C59" s="1">
        <f>1*240000+0*80000</f>
        <v>240000</v>
      </c>
      <c r="D59" s="1">
        <f>Table1[[#This Row],[Bet Value]] + D58</f>
        <v>10880000</v>
      </c>
      <c r="E59" s="1">
        <f>-240000+24000</f>
        <v>-216000</v>
      </c>
      <c r="F59" s="1">
        <f>F58+Table1[[#This Row],[Change]]</f>
        <v>-4182000</v>
      </c>
    </row>
    <row r="60" spans="1:6">
      <c r="A60" s="6">
        <v>43922</v>
      </c>
      <c r="B60" s="2" t="s">
        <v>8</v>
      </c>
      <c r="C60" s="1">
        <f>1*240000+0*80000</f>
        <v>240000</v>
      </c>
      <c r="D60" s="1">
        <f>Table1[[#This Row],[Bet Value]] + D59</f>
        <v>11120000</v>
      </c>
      <c r="E60" s="1">
        <f>-240000+24000</f>
        <v>-216000</v>
      </c>
      <c r="F60" s="1">
        <f>F59+Table1[[#This Row],[Change]]</f>
        <v>-4398000</v>
      </c>
    </row>
    <row r="61" spans="1:6">
      <c r="A61" s="6">
        <v>43926</v>
      </c>
      <c r="B61" s="2" t="s">
        <v>4</v>
      </c>
      <c r="C61" s="1">
        <f>0*240000+0*80000</f>
        <v>0</v>
      </c>
      <c r="D61" s="1">
        <f>Table1[[#This Row],[Bet Value]] + D60</f>
        <v>11120000</v>
      </c>
      <c r="E61" s="1">
        <f>0</f>
        <v>0</v>
      </c>
      <c r="F61" s="1">
        <f>F60+Table1[[#This Row],[Change]]</f>
        <v>-4398000</v>
      </c>
    </row>
    <row r="62" spans="1:6">
      <c r="A62" s="6">
        <v>43929</v>
      </c>
      <c r="B62" s="2" t="s">
        <v>4</v>
      </c>
      <c r="C62" s="1">
        <f>0*240000+0*80000</f>
        <v>0</v>
      </c>
      <c r="D62" s="1">
        <f>Table1[[#This Row],[Bet Value]] + D61</f>
        <v>11120000</v>
      </c>
      <c r="E62" s="1">
        <f>0</f>
        <v>0</v>
      </c>
      <c r="F62" s="1">
        <f>F61+Table1[[#This Row],[Change]]</f>
        <v>-4398000</v>
      </c>
    </row>
    <row r="63" spans="1:6">
      <c r="A63" s="6">
        <v>43933</v>
      </c>
      <c r="B63" s="2" t="s">
        <v>9</v>
      </c>
      <c r="C63" s="1">
        <f>1*240000+0*80000</f>
        <v>240000</v>
      </c>
      <c r="D63" s="1">
        <f>Table1[[#This Row],[Bet Value]] + D62</f>
        <v>11360000</v>
      </c>
      <c r="E63" s="1">
        <f>129000</f>
        <v>129000</v>
      </c>
      <c r="F63" s="1">
        <f>F62+Table1[[#This Row],[Change]]</f>
        <v>-4269000</v>
      </c>
    </row>
    <row r="64" spans="1:6">
      <c r="A64" s="6">
        <v>43936</v>
      </c>
      <c r="B64" s="2" t="s">
        <v>8</v>
      </c>
      <c r="C64" s="1">
        <f>1*240000+0*80000</f>
        <v>240000</v>
      </c>
      <c r="D64" s="1">
        <f>Table1[[#This Row],[Bet Value]] + D63</f>
        <v>11600000</v>
      </c>
      <c r="E64" s="1">
        <f>-240000+24000</f>
        <v>-216000</v>
      </c>
      <c r="F64" s="1">
        <f>F63+Table1[[#This Row],[Change]]</f>
        <v>-4485000</v>
      </c>
    </row>
    <row r="65" spans="1:6">
      <c r="A65" s="6">
        <v>43940</v>
      </c>
      <c r="B65" s="2" t="s">
        <v>8</v>
      </c>
      <c r="C65" s="1">
        <f>1*240000+0*80000</f>
        <v>240000</v>
      </c>
      <c r="D65" s="1">
        <f>Table1[[#This Row],[Bet Value]] + D64</f>
        <v>11840000</v>
      </c>
      <c r="E65" s="1">
        <f>-240000+24000</f>
        <v>-216000</v>
      </c>
      <c r="F65" s="1">
        <f>F64+Table1[[#This Row],[Change]]</f>
        <v>-4701000</v>
      </c>
    </row>
    <row r="66" spans="1:6">
      <c r="A66" s="6">
        <v>43943</v>
      </c>
      <c r="B66" s="2" t="s">
        <v>8</v>
      </c>
      <c r="C66" s="1">
        <f>1*240000+0*80000</f>
        <v>240000</v>
      </c>
      <c r="D66" s="1">
        <f>Table1[[#This Row],[Bet Value]] + D65</f>
        <v>12080000</v>
      </c>
      <c r="E66" s="1">
        <f>-240000+24000</f>
        <v>-216000</v>
      </c>
      <c r="F66" s="1">
        <f>F65+Table1[[#This Row],[Change]]</f>
        <v>-4917000</v>
      </c>
    </row>
    <row r="67" spans="1:6">
      <c r="A67" s="6">
        <v>43947</v>
      </c>
      <c r="B67" s="2" t="s">
        <v>13</v>
      </c>
      <c r="C67" s="1">
        <f>1*240000+0*80000</f>
        <v>240000</v>
      </c>
      <c r="D67" s="1">
        <f>Table1[[#This Row],[Bet Value]] + D66</f>
        <v>12320000</v>
      </c>
      <c r="E67" s="1">
        <f>594000+0</f>
        <v>594000</v>
      </c>
      <c r="F67" s="1">
        <f>F66+Table1[[#This Row],[Change]]</f>
        <v>-4323000</v>
      </c>
    </row>
    <row r="68" spans="1:6">
      <c r="A68" s="6">
        <v>43950</v>
      </c>
      <c r="B68" s="2" t="s">
        <v>4</v>
      </c>
      <c r="C68" s="1">
        <f>0*240000+0*80000</f>
        <v>0</v>
      </c>
      <c r="D68" s="1">
        <f>Table1[[#This Row],[Bet Value]] + D67</f>
        <v>12320000</v>
      </c>
      <c r="E68" s="1">
        <f>0+0</f>
        <v>0</v>
      </c>
      <c r="F68" s="1">
        <f>F67+Table1[[#This Row],[Change]]</f>
        <v>-4323000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2020-05-01T09:48:58Z</dcterms:modified>
</cp:coreProperties>
</file>