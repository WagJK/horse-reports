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228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OneDrive\桌面\horse-reports\convert\"/>
    </mc:Choice>
  </mc:AlternateContent>
  <xr:revisionPtr revIDLastSave="152" documentId="10_ncr:100000_{6708B309-AEFA-4D4B-A8A8-7B1766CFD0B7}" xr6:coauthVersionLast="45" xr6:coauthVersionMax="45" xr10:uidLastSave="{0E9F527C-CDD7-4B82-8271-10C04E2D8FE1}"/>
  <bookViews>
    <workbookView xWindow="-108" yWindow="-108" windowWidth="23256" windowHeight="12720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" i="1" l="1"/>
  <c r="E31" i="1"/>
  <c r="C31" i="1"/>
  <c r="C30" i="1" l="1"/>
  <c r="E30" i="1"/>
  <c r="E29" i="1" l="1"/>
  <c r="C29" i="1"/>
  <c r="E28" i="1" l="1"/>
  <c r="C28" i="1"/>
  <c r="E27" i="1" l="1"/>
  <c r="C27" i="1"/>
  <c r="E26" i="1" l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  <c r="F27" i="1" l="1"/>
  <c r="F28" i="1" l="1"/>
  <c r="F29" i="1" l="1"/>
  <c r="F30" i="1" l="1"/>
  <c r="F31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<sst xmlns="http://schemas.openxmlformats.org/spreadsheetml/2006/main" count="41" uniqueCount="13">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</sst>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9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Fund!$A$2:$A$31</c:f>
              <c:strCache>
                <c:ptCount val="30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  <c:pt idx="25">
                  <c:v>2019/12/8</c:v>
                </c:pt>
                <c:pt idx="26">
                  <c:v>2019/12/11</c:v>
                </c:pt>
                <c:pt idx="27">
                  <c:v>2019/12/15</c:v>
                </c:pt>
                <c:pt idx="28">
                  <c:v>2019/12/18</c:v>
                </c:pt>
                <c:pt idx="29">
                  <c:v>2019/12/21</c:v>
                </c:pt>
              </c:strCache>
            </c:strRef>
          </c:cat>
          <c:val>
            <c:numRef>
              <c:f>Fund!$F$2:$F$31</c:f>
              <c:numCache>
                <c:formatCode>"HK$"#,##0.00_);[Red]\("HK$"#,##0.00\)</c:formatCode>
                <c:ptCount val="30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  <c:pt idx="25">
                  <c:v>-3819000</c:v>
                </c:pt>
                <c:pt idx="26">
                  <c:v>-4035000</c:v>
                </c:pt>
                <c:pt idx="27">
                  <c:v>-4035000</c:v>
                </c:pt>
                <c:pt idx="28">
                  <c:v>-4035000</c:v>
                </c:pt>
                <c:pt idx="29">
                  <c:v>-4251000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4000000"/>
          <c:min val="-4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31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1"/>
  <sheetViews>
    <sheetView tabSelected="1" zoomScale="85" zoomScaleNormal="85" workbookViewId="0"/>
  </sheetViews>
  <sheetFormatPr defaultRowHeight="14.4"/>
  <cols>
    <col min="1" max="1" width="12.6640625" style="7" customWidth="1"/>
    <col min="2" max="2" width="22.33203125" style="2" customWidth="1"/>
    <col min="3" max="3" width="18.44140625" style="1" customWidth="1"/>
    <col min="4" max="4" width="18" style="1" customWidth="1"/>
    <col min="5" max="5" width="17.44140625" customWidth="1"/>
    <col min="6" max="7" width="19.109375" customWidth="1"/>
    <col min="8" max="8" width="17.109375" customWidth="1"/>
    <col min="9" max="9" width="22.664062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F31</f>
        <v>-4251000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  <row r="27" spans="1:6">
      <c r="A27" s="6">
        <v>43807</v>
      </c>
      <c r="B27" s="2" t="s">
        <v>8</v>
      </c>
      <c r="C27" s="1">
        <f>1*240000+1*80000</f>
        <v>320000</v>
      </c>
      <c r="D27" s="1">
        <f>Table1[[#This Row],[Bet Value]] + D26</f>
        <v>6480000</v>
      </c>
      <c r="E27" s="1">
        <f>-320000+32000</f>
        <v>-288000</v>
      </c>
      <c r="F27" s="1">
        <f>F26+Table1[[#This Row],[Change]]</f>
        <v>-3819000</v>
      </c>
    </row>
    <row r="28" spans="1:6">
      <c r="A28" s="6">
        <v>43810</v>
      </c>
      <c r="B28" s="2" t="s">
        <v>8</v>
      </c>
      <c r="C28" s="1">
        <f>1*240000+0*80000</f>
        <v>240000</v>
      </c>
      <c r="D28" s="1">
        <f>Table1[[#This Row],[Bet Value]] + D27</f>
        <v>6720000</v>
      </c>
      <c r="E28" s="1">
        <f>-240000+24000</f>
        <v>-216000</v>
      </c>
      <c r="F28" s="1">
        <f>F27+Table1[[#This Row],[Change]]</f>
        <v>-4035000</v>
      </c>
    </row>
    <row r="29" spans="1:6">
      <c r="A29" s="6">
        <v>43814</v>
      </c>
      <c r="B29" s="2" t="s">
        <v>4</v>
      </c>
      <c r="C29" s="1">
        <f>0*240000+0*80000</f>
        <v>0</v>
      </c>
      <c r="D29" s="1">
        <f>Table1[[#This Row],[Bet Value]] + D28</f>
        <v>6720000</v>
      </c>
      <c r="E29" s="1">
        <f>0+0</f>
        <v>0</v>
      </c>
      <c r="F29" s="1">
        <f>F28+Table1[[#This Row],[Change]]</f>
        <v>-4035000</v>
      </c>
    </row>
    <row r="30" spans="1:6">
      <c r="A30" s="6">
        <v>43817</v>
      </c>
      <c r="B30" s="2" t="s">
        <v>4</v>
      </c>
      <c r="C30" s="1">
        <f>0*240000+0*80000</f>
        <v>0</v>
      </c>
      <c r="D30" s="1">
        <f>Table1[[#This Row],[Bet Value]] + D29</f>
        <v>6720000</v>
      </c>
      <c r="E30" s="1">
        <f>0+0</f>
        <v>0</v>
      </c>
      <c r="F30" s="1">
        <f>F29+Table1[[#This Row],[Change]]</f>
        <v>-4035000</v>
      </c>
    </row>
    <row r="31" spans="1:6">
      <c r="A31" s="6">
        <v>43820</v>
      </c>
      <c r="B31" s="2" t="s">
        <v>8</v>
      </c>
      <c r="C31" s="1">
        <f>1*240000+0*80000</f>
        <v>240000</v>
      </c>
      <c r="D31" s="1">
        <f>Table1[[#This Row],[Bet Value]] + D30</f>
        <v>6960000</v>
      </c>
      <c r="E31" s="1">
        <f>-240000+24000</f>
        <v>-216000</v>
      </c>
      <c r="F31" s="1">
        <f>F30+Table1[[#This Row],[Change]]</f>
        <v>-4251000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2019-12-22T04:15:43Z</dcterms:modified>
</cp:coreProperties>
</file>