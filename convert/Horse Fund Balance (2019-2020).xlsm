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OneDrive\桌面\horse-reports\convert\"/>
    </mc:Choice>
  </mc:AlternateContent>
  <xr:revisionPtr revIDLastSave="116" documentId="6_{CC6BB569-F454-4A10-8C0D-2623DF155D4C}" xr6:coauthVersionLast="45" xr6:coauthVersionMax="45" xr10:uidLastSave="{04CFAEE2-1369-4BF8-B4D1-F7860EDA217F}"/>
  <bookViews>
    <workbookView xWindow="7860" yWindow="2670" windowWidth="38700" windowHeight="15435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1" l="1"/>
  <c r="E53" i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C43" i="1" l="1"/>
  <c r="E43" i="1"/>
  <c r="C42" i="1" l="1"/>
  <c r="E42" i="1"/>
  <c r="E41" i="1" l="1"/>
  <c r="C41" i="1"/>
  <c r="E40" i="1" l="1"/>
  <c r="C40" i="1"/>
  <c r="E39" i="1" l="1"/>
  <c r="C39" i="1"/>
  <c r="C38" i="1" l="1"/>
  <c r="E38" i="1"/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s="1"/>
  <c r="F44" i="1" l="1"/>
  <c r="F45" i="1" l="1"/>
  <c r="F46" i="1" l="1"/>
  <c r="F47" i="1" l="1"/>
  <c r="F48" i="1" l="1"/>
  <c r="F49" i="1" l="1"/>
  <c r="F50" i="1" l="1"/>
  <c r="F51" i="1" l="1"/>
  <c r="F52" i="1" l="1"/>
  <c r="F53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<sst xmlns="http://schemas.openxmlformats.org/spreadsheetml/2006/main" count="63" uniqueCount="14">
  <si>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</si>
  <si>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</si>
  <si>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</si>
  <si>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</si>
  <si>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</si>
  <si>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</si>
  <si>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</si>
  <si>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</si>
  <si>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</si>
  <si>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</si>
  <si>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</si>
  <si>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</si>
  <si>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</si>
  <si>
    <t>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</si>
</sst>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9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Fund!$A$2:$A$53</c:f>
              <c:strCache>
                <c:ptCount val="52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  <c:pt idx="36">
                  <c:v>2020/1/15</c:v>
                </c:pt>
                <c:pt idx="37">
                  <c:v>2020/1/19</c:v>
                </c:pt>
                <c:pt idx="38">
                  <c:v>2020/1/22</c:v>
                </c:pt>
                <c:pt idx="39">
                  <c:v>2020/1/27</c:v>
                </c:pt>
                <c:pt idx="40">
                  <c:v>2020/1/29</c:v>
                </c:pt>
                <c:pt idx="41">
                  <c:v>2020/2/2</c:v>
                </c:pt>
                <c:pt idx="42">
                  <c:v>2020/2/5</c:v>
                </c:pt>
                <c:pt idx="43">
                  <c:v>2020/2/8</c:v>
                </c:pt>
                <c:pt idx="44">
                  <c:v>2020/2/12</c:v>
                </c:pt>
                <c:pt idx="45">
                  <c:v>2020/2/16</c:v>
                </c:pt>
                <c:pt idx="46">
                  <c:v>2020/2/19</c:v>
                </c:pt>
                <c:pt idx="47">
                  <c:v>2020/2/23</c:v>
                </c:pt>
                <c:pt idx="48">
                  <c:v>2020/2/26</c:v>
                </c:pt>
                <c:pt idx="49">
                  <c:v>2020/3/1</c:v>
                </c:pt>
                <c:pt idx="50">
                  <c:v>2020/3/4</c:v>
                </c:pt>
                <c:pt idx="51">
                  <c:v>2020/3/8</c:v>
                </c:pt>
              </c:strCache>
            </c:strRef>
          </c:cat>
          <c:val>
            <c:numRef>
              <c:f>Fund!$F$2:$F$53</c:f>
              <c:numCache>
                <c:formatCode>"HK$"#,##0.00_);[Red]\("HK$"#,##0.00\)</c:formatCode>
                <c:ptCount val="52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  <c:pt idx="36">
                  <c:v>-4338000</c:v>
                </c:pt>
                <c:pt idx="37">
                  <c:v>-3651000</c:v>
                </c:pt>
                <c:pt idx="38">
                  <c:v>-3867000</c:v>
                </c:pt>
                <c:pt idx="39">
                  <c:v>-3867000</c:v>
                </c:pt>
                <c:pt idx="40">
                  <c:v>-3867000</c:v>
                </c:pt>
                <c:pt idx="41">
                  <c:v>-3867000</c:v>
                </c:pt>
                <c:pt idx="42">
                  <c:v>-3867000</c:v>
                </c:pt>
                <c:pt idx="43">
                  <c:v>-4155000</c:v>
                </c:pt>
                <c:pt idx="44">
                  <c:v>-4371000</c:v>
                </c:pt>
                <c:pt idx="45">
                  <c:v>-4371000</c:v>
                </c:pt>
                <c:pt idx="46">
                  <c:v>-4305000</c:v>
                </c:pt>
                <c:pt idx="47">
                  <c:v>-3045000</c:v>
                </c:pt>
                <c:pt idx="48">
                  <c:v>-3621000</c:v>
                </c:pt>
                <c:pt idx="49">
                  <c:v>-3909000</c:v>
                </c:pt>
                <c:pt idx="50">
                  <c:v>-3909000</c:v>
                </c:pt>
                <c:pt idx="51">
                  <c:v>-4125000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53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3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F53</f>
        <v>-4125000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  <row r="38" spans="1:6">
      <c r="A38" s="6">
        <v>43845</v>
      </c>
      <c r="B38" s="2" t="s">
        <v>4</v>
      </c>
      <c r="C38" s="1">
        <f>0*240000+0*80000</f>
        <v>0</v>
      </c>
      <c r="D38" s="1">
        <f>Table1[[#This Row],[Bet Value]] + D37</f>
        <v>7440000</v>
      </c>
      <c r="E38" s="1">
        <f>0</f>
        <v>0</v>
      </c>
      <c r="F38" s="1">
        <f>F37+Table1[[#This Row],[Change]]</f>
        <v>-4338000</v>
      </c>
    </row>
    <row r="39" spans="1:6">
      <c r="A39" s="6">
        <v>43849</v>
      </c>
      <c r="B39" s="2" t="s">
        <v>9</v>
      </c>
      <c r="C39" s="1">
        <f>1*240000+0*80000</f>
        <v>240000</v>
      </c>
      <c r="D39" s="1">
        <f>Table1[[#This Row],[Bet Value]] + D38</f>
        <v>7680000</v>
      </c>
      <c r="E39" s="1">
        <f>687000+0</f>
        <v>687000</v>
      </c>
      <c r="F39" s="1">
        <f>F38+Table1[[#This Row],[Change]]</f>
        <v>-3651000</v>
      </c>
    </row>
    <row r="40" spans="1:6">
      <c r="A40" s="6">
        <v>43852</v>
      </c>
      <c r="B40" s="2" t="s">
        <v>8</v>
      </c>
      <c r="C40" s="1">
        <f>1*240000+0*80000</f>
        <v>240000</v>
      </c>
      <c r="D40" s="1">
        <f>Table1[[#This Row],[Bet Value]] + D39</f>
        <v>7920000</v>
      </c>
      <c r="E40" s="1">
        <f>-240000+24000</f>
        <v>-216000</v>
      </c>
      <c r="F40" s="1">
        <f>F39+Table1[[#This Row],[Change]]</f>
        <v>-3867000</v>
      </c>
    </row>
    <row r="41" spans="1:6">
      <c r="A41" s="6">
        <v>43857</v>
      </c>
      <c r="B41" s="2" t="s">
        <v>4</v>
      </c>
      <c r="C41" s="1">
        <f>0*240000+0*80000</f>
        <v>0</v>
      </c>
      <c r="D41" s="1">
        <f>Table1[[#This Row],[Bet Value]] + D40</f>
        <v>7920000</v>
      </c>
      <c r="E41" s="1">
        <f>0+0</f>
        <v>0</v>
      </c>
      <c r="F41" s="1">
        <f>F40+Table1[[#This Row],[Change]]</f>
        <v>-3867000</v>
      </c>
    </row>
    <row r="42" spans="1:6">
      <c r="A42" s="6">
        <v>43859</v>
      </c>
      <c r="B42" s="2" t="s">
        <v>4</v>
      </c>
      <c r="C42" s="1">
        <f>0*240000+0*80000</f>
        <v>0</v>
      </c>
      <c r="D42" s="1">
        <f>Table1[[#This Row],[Bet Value]] + D41</f>
        <v>7920000</v>
      </c>
      <c r="E42" s="1">
        <f>0+0</f>
        <v>0</v>
      </c>
      <c r="F42" s="1">
        <f>F41+Table1[[#This Row],[Change]]</f>
        <v>-3867000</v>
      </c>
    </row>
    <row r="43" spans="1:6">
      <c r="A43" s="6">
        <v>43863</v>
      </c>
      <c r="B43" s="2" t="s">
        <v>4</v>
      </c>
      <c r="C43" s="1">
        <f>0*240000+0*80000</f>
        <v>0</v>
      </c>
      <c r="D43" s="1">
        <f>Table1[[#This Row],[Bet Value]] + D42</f>
        <v>7920000</v>
      </c>
      <c r="E43" s="1">
        <f>0+0</f>
        <v>0</v>
      </c>
      <c r="F43" s="1">
        <f>F42+Table1[[#This Row],[Change]]</f>
        <v>-3867000</v>
      </c>
    </row>
    <row r="44" spans="1:6">
      <c r="A44" s="6">
        <v>43866</v>
      </c>
      <c r="B44" s="2" t="s">
        <v>4</v>
      </c>
      <c r="C44" s="1">
        <f>0*240000+0*80000</f>
        <v>0</v>
      </c>
      <c r="D44" s="1">
        <f>Table1[[#This Row],[Bet Value]] + D43</f>
        <v>7920000</v>
      </c>
      <c r="E44" s="1">
        <f>0+0</f>
        <v>0</v>
      </c>
      <c r="F44" s="1">
        <f>F43+Table1[[#This Row],[Change]]</f>
        <v>-3867000</v>
      </c>
    </row>
    <row r="45" spans="1:6">
      <c r="A45" s="6">
        <v>43869</v>
      </c>
      <c r="B45" s="2" t="s">
        <v>8</v>
      </c>
      <c r="C45" s="1">
        <f>1*240000+1*80000</f>
        <v>320000</v>
      </c>
      <c r="D45" s="1">
        <f>Table1[[#This Row],[Bet Value]] + D44</f>
        <v>8240000</v>
      </c>
      <c r="E45" s="1">
        <f>-320000+32000</f>
        <v>-288000</v>
      </c>
      <c r="F45" s="1">
        <f>F44+Table1[[#This Row],[Change]]</f>
        <v>-4155000</v>
      </c>
    </row>
    <row r="46" spans="1:6">
      <c r="A46" s="6">
        <v>43873</v>
      </c>
      <c r="B46" s="2" t="s">
        <v>8</v>
      </c>
      <c r="C46" s="1">
        <f>1*240000+0*80000</f>
        <v>240000</v>
      </c>
      <c r="D46" s="1">
        <f>Table1[[#This Row],[Bet Value]] + D45</f>
        <v>8480000</v>
      </c>
      <c r="E46" s="1">
        <f>-240000+24000</f>
        <v>-216000</v>
      </c>
      <c r="F46" s="1">
        <f>F45+Table1[[#This Row],[Change]]</f>
        <v>-4371000</v>
      </c>
    </row>
    <row r="47" spans="1:6">
      <c r="A47" s="6">
        <v>43877</v>
      </c>
      <c r="B47" s="2" t="s">
        <v>8</v>
      </c>
      <c r="C47" s="1">
        <f>0*240000+0*80000</f>
        <v>0</v>
      </c>
      <c r="D47" s="1">
        <f>Table1[[#This Row],[Bet Value]] + D46</f>
        <v>8480000</v>
      </c>
      <c r="E47" s="1">
        <f>0</f>
        <v>0</v>
      </c>
      <c r="F47" s="1">
        <f>F46+Table1[[#This Row],[Change]]</f>
        <v>-4371000</v>
      </c>
    </row>
    <row r="48" spans="1:6">
      <c r="A48" s="6">
        <v>43880</v>
      </c>
      <c r="B48" s="2" t="s">
        <v>9</v>
      </c>
      <c r="C48" s="1">
        <f>1*240000+0*80000</f>
        <v>240000</v>
      </c>
      <c r="D48" s="1">
        <f>Table1[[#This Row],[Bet Value]] + D47</f>
        <v>8720000</v>
      </c>
      <c r="E48" s="1">
        <f>66000+0</f>
        <v>66000</v>
      </c>
      <c r="F48" s="1">
        <f>F47+Table1[[#This Row],[Change]]</f>
        <v>-4305000</v>
      </c>
    </row>
    <row r="49" spans="1:6">
      <c r="A49" s="6">
        <v>43884</v>
      </c>
      <c r="B49" s="2" t="s">
        <v>13</v>
      </c>
      <c r="C49" s="1">
        <f>1*240000+0*80000</f>
        <v>240000</v>
      </c>
      <c r="D49" s="1">
        <f>Table1[[#This Row],[Bet Value]] + D48</f>
        <v>8960000</v>
      </c>
      <c r="E49" s="1">
        <f>1260000+0</f>
        <v>1260000</v>
      </c>
      <c r="F49" s="1">
        <f>F48+Table1[[#This Row],[Change]]</f>
        <v>-3045000</v>
      </c>
    </row>
    <row r="50" spans="1:6">
      <c r="A50" s="6">
        <v>43887</v>
      </c>
      <c r="B50" s="2" t="s">
        <v>10</v>
      </c>
      <c r="C50" s="1">
        <f>2*240000+2*80000</f>
        <v>640000</v>
      </c>
      <c r="D50" s="1">
        <f>Table1[[#This Row],[Bet Value]] + D49</f>
        <v>9600000</v>
      </c>
      <c r="E50" s="1">
        <f>-640000+64000</f>
        <v>-576000</v>
      </c>
      <c r="F50" s="1">
        <f>F49+Table1[[#This Row],[Change]]</f>
        <v>-3621000</v>
      </c>
    </row>
    <row r="51" spans="1:6">
      <c r="A51" s="6">
        <v>43891</v>
      </c>
      <c r="B51" s="2" t="s">
        <v>8</v>
      </c>
      <c r="C51" s="1">
        <f>1*240000+1*80000</f>
        <v>320000</v>
      </c>
      <c r="D51" s="1">
        <f>Table1[[#This Row],[Bet Value]] + D50</f>
        <v>9920000</v>
      </c>
      <c r="E51" s="1">
        <f>-320000+32000</f>
        <v>-288000</v>
      </c>
      <c r="F51" s="1">
        <f>F50+Table1[[#This Row],[Change]]</f>
        <v>-3909000</v>
      </c>
    </row>
    <row r="52" spans="1:6">
      <c r="A52" s="6">
        <v>43894</v>
      </c>
      <c r="B52" s="2" t="s">
        <v>4</v>
      </c>
      <c r="C52" s="1">
        <f>0*240000+0*80000</f>
        <v>0</v>
      </c>
      <c r="D52" s="1">
        <f>Table1[[#This Row],[Bet Value]] + D51</f>
        <v>9920000</v>
      </c>
      <c r="E52" s="1">
        <f>0</f>
        <v>0</v>
      </c>
      <c r="F52" s="1">
        <f>F51+Table1[[#This Row],[Change]]</f>
        <v>-3909000</v>
      </c>
    </row>
    <row r="53" spans="1:6">
      <c r="A53" s="6">
        <v>43898</v>
      </c>
      <c r="B53" s="2" t="s">
        <v>8</v>
      </c>
      <c r="C53" s="1">
        <f>1*240000+0*80000</f>
        <v>240000</v>
      </c>
      <c r="D53" s="1">
        <f>Table1[[#This Row],[Bet Value]] + D52</f>
        <v>10160000</v>
      </c>
      <c r="E53" s="1">
        <f>-240000+24000</f>
        <v>-216000</v>
      </c>
      <c r="F53" s="1">
        <f>F52+Table1[[#This Row],[Change]]</f>
        <v>-4125000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2020-03-09T05:31:17Z</dcterms:modified>
</cp:coreProperties>
</file>