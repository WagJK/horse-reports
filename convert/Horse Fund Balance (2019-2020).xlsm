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fee960b44c02e62/桌面/horse-reports/convert/"/>
    </mc:Choice>
  </mc:AlternateContent>
  <xr:revisionPtr revIDLastSave="230" documentId="6_{CC6BB569-F454-4A10-8C0D-2623DF155D4C}" xr6:coauthVersionLast="45" xr6:coauthVersionMax="45" xr10:uidLastSave="{65C6E5B7-6DB6-4FC2-9DC7-33AD29D9CDB9}"/>
  <bookViews>
    <workbookView xWindow="4680" yWindow="4680" windowWidth="38700" windowHeight="15435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C76" i="1"/>
  <c r="E76" i="1"/>
  <c r="C75" i="1" l="1"/>
  <c r="E75" i="1"/>
  <c r="E74" i="1" l="1"/>
  <c r="C74" i="1"/>
  <c r="C73" i="1" l="1"/>
  <c r="E73" i="1"/>
  <c r="E72" i="1" l="1"/>
  <c r="C72" i="1"/>
  <c r="E71" i="1" l="1"/>
  <c r="C71" i="1"/>
  <c r="C70" i="1" l="1"/>
  <c r="E70" i="1"/>
  <c r="E69" i="1" l="1"/>
  <c r="C69" i="1"/>
  <c r="E68" i="1" l="1"/>
  <c r="C68" i="1"/>
  <c r="E67" i="1" l="1"/>
  <c r="C67" i="1"/>
  <c r="C66" i="1" l="1"/>
  <c r="E66" i="1"/>
  <c r="C65" i="1" l="1"/>
  <c r="E65" i="1"/>
  <c r="E64" i="1" l="1"/>
  <c r="C64" i="1"/>
  <c r="E63" i="1" l="1"/>
  <c r="C63" i="1"/>
  <c r="C62" i="1" l="1"/>
  <c r="E62" i="1"/>
  <c r="E61" i="1" l="1"/>
  <c r="C61" i="1"/>
  <c r="C60" i="1" l="1"/>
  <c r="E60" i="1"/>
  <c r="E59" i="1" l="1"/>
  <c r="C59" i="1"/>
  <c r="C58" i="1" l="1"/>
  <c r="E58" i="1"/>
  <c r="E57" i="1" l="1"/>
  <c r="C57" i="1"/>
  <c r="E56" i="1" l="1"/>
  <c r="C56" i="1"/>
  <c r="E55" i="1" l="1"/>
  <c r="C55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C43" i="1" l="1"/>
  <c r="E43" i="1"/>
  <c r="C42" i="1" l="1"/>
  <c r="E42" i="1"/>
  <c r="E41" i="1" l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s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l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  <c r="F68" i="1" l="1"/>
  <c r="F69" i="1" l="1"/>
  <c r="F70" i="1" l="1"/>
  <c r="F71" i="1" l="1"/>
  <c r="F72" i="1" l="1"/>
  <c r="F73" i="1" l="1"/>
  <c r="F74" i="1" l="1"/>
  <c r="F75" i="1" l="1"/>
  <c r="F76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<sst xmlns="http://schemas.openxmlformats.org/spreadsheetml/2006/main" count="86" uniqueCount="14">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</sst>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9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Fund!$A$2:$A$76</c:f>
              <c:strCache>
                <c:ptCount val="75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  <c:pt idx="40">
                  <c:v>2020/1/29</c:v>
                </c:pt>
                <c:pt idx="41">
                  <c:v>2020/2/2</c:v>
                </c:pt>
                <c:pt idx="42">
                  <c:v>2020/2/5</c:v>
                </c:pt>
                <c:pt idx="43">
                  <c:v>2020/2/8</c:v>
                </c:pt>
                <c:pt idx="44">
                  <c:v>2020/2/12</c:v>
                </c:pt>
                <c:pt idx="45">
                  <c:v>2020/2/16</c:v>
                </c:pt>
                <c:pt idx="46">
                  <c:v>2020/2/19</c:v>
                </c:pt>
                <c:pt idx="47">
                  <c:v>2020/2/23</c:v>
                </c:pt>
                <c:pt idx="48">
                  <c:v>2020/2/26</c:v>
                </c:pt>
                <c:pt idx="49">
                  <c:v>2020/3/1</c:v>
                </c:pt>
                <c:pt idx="50">
                  <c:v>2020/3/4</c:v>
                </c:pt>
                <c:pt idx="51">
                  <c:v>2020/3/8</c:v>
                </c:pt>
                <c:pt idx="52">
                  <c:v>2020/3/11</c:v>
                </c:pt>
                <c:pt idx="53">
                  <c:v>2020/3/14</c:v>
                </c:pt>
                <c:pt idx="54">
                  <c:v>2020/3/18</c:v>
                </c:pt>
                <c:pt idx="55">
                  <c:v>2020/3/22</c:v>
                </c:pt>
                <c:pt idx="56">
                  <c:v>2020/3/25</c:v>
                </c:pt>
                <c:pt idx="57">
                  <c:v>2020/3/29</c:v>
                </c:pt>
                <c:pt idx="58">
                  <c:v>2020/4/1</c:v>
                </c:pt>
                <c:pt idx="59">
                  <c:v>2020/4/5</c:v>
                </c:pt>
                <c:pt idx="60">
                  <c:v>2020/4/8</c:v>
                </c:pt>
                <c:pt idx="61">
                  <c:v>2020/4/12</c:v>
                </c:pt>
                <c:pt idx="62">
                  <c:v>2020/4/15</c:v>
                </c:pt>
                <c:pt idx="63">
                  <c:v>2020/4/19</c:v>
                </c:pt>
                <c:pt idx="64">
                  <c:v>2020/4/22</c:v>
                </c:pt>
                <c:pt idx="65">
                  <c:v>2020/4/26</c:v>
                </c:pt>
                <c:pt idx="66">
                  <c:v>2020/4/29</c:v>
                </c:pt>
                <c:pt idx="67">
                  <c:v>2020/5/3</c:v>
                </c:pt>
                <c:pt idx="68">
                  <c:v>2020/5/6</c:v>
                </c:pt>
                <c:pt idx="69">
                  <c:v>2020/5/9</c:v>
                </c:pt>
                <c:pt idx="70">
                  <c:v>2020/5/13</c:v>
                </c:pt>
                <c:pt idx="71">
                  <c:v>2020/5/17</c:v>
                </c:pt>
                <c:pt idx="72">
                  <c:v>2020/5/20</c:v>
                </c:pt>
                <c:pt idx="73">
                  <c:v>2020/5/24</c:v>
                </c:pt>
                <c:pt idx="74">
                  <c:v>2020/5/27</c:v>
                </c:pt>
              </c:strCache>
            </c:strRef>
          </c:cat>
          <c:val>
            <c:numRef>
              <c:f>Fund!$F$2:$F$76</c:f>
              <c:numCache>
                <c:formatCode>"HK$"#,##0.00_);[Red]\("HK$"#,##0.00\)</c:formatCode>
                <c:ptCount val="75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  <c:pt idx="40">
                  <c:v>-3867000</c:v>
                </c:pt>
                <c:pt idx="41">
                  <c:v>-3867000</c:v>
                </c:pt>
                <c:pt idx="42">
                  <c:v>-3867000</c:v>
                </c:pt>
                <c:pt idx="43">
                  <c:v>-4155000</c:v>
                </c:pt>
                <c:pt idx="44">
                  <c:v>-4371000</c:v>
                </c:pt>
                <c:pt idx="45">
                  <c:v>-4371000</c:v>
                </c:pt>
                <c:pt idx="46">
                  <c:v>-4305000</c:v>
                </c:pt>
                <c:pt idx="47">
                  <c:v>-3045000</c:v>
                </c:pt>
                <c:pt idx="48">
                  <c:v>-3621000</c:v>
                </c:pt>
                <c:pt idx="49">
                  <c:v>-3909000</c:v>
                </c:pt>
                <c:pt idx="50">
                  <c:v>-3909000</c:v>
                </c:pt>
                <c:pt idx="51">
                  <c:v>-4125000</c:v>
                </c:pt>
                <c:pt idx="52">
                  <c:v>-4125000</c:v>
                </c:pt>
                <c:pt idx="53">
                  <c:v>-4059000</c:v>
                </c:pt>
                <c:pt idx="54">
                  <c:v>-3966000</c:v>
                </c:pt>
                <c:pt idx="55">
                  <c:v>-3966000</c:v>
                </c:pt>
                <c:pt idx="56">
                  <c:v>-3966000</c:v>
                </c:pt>
                <c:pt idx="57">
                  <c:v>-4182000</c:v>
                </c:pt>
                <c:pt idx="58">
                  <c:v>-4398000</c:v>
                </c:pt>
                <c:pt idx="59">
                  <c:v>-4398000</c:v>
                </c:pt>
                <c:pt idx="60">
                  <c:v>-4398000</c:v>
                </c:pt>
                <c:pt idx="61">
                  <c:v>-4269000</c:v>
                </c:pt>
                <c:pt idx="62">
                  <c:v>-4485000</c:v>
                </c:pt>
                <c:pt idx="63">
                  <c:v>-4701000</c:v>
                </c:pt>
                <c:pt idx="64">
                  <c:v>-4917000</c:v>
                </c:pt>
                <c:pt idx="65">
                  <c:v>-4323000</c:v>
                </c:pt>
                <c:pt idx="66">
                  <c:v>-4323000</c:v>
                </c:pt>
                <c:pt idx="67">
                  <c:v>-4311000</c:v>
                </c:pt>
                <c:pt idx="68">
                  <c:v>-4527000</c:v>
                </c:pt>
                <c:pt idx="69">
                  <c:v>-4527000</c:v>
                </c:pt>
                <c:pt idx="70">
                  <c:v>-4743000</c:v>
                </c:pt>
                <c:pt idx="71">
                  <c:v>-4959000</c:v>
                </c:pt>
                <c:pt idx="72">
                  <c:v>-4959000</c:v>
                </c:pt>
                <c:pt idx="73">
                  <c:v>-4959000</c:v>
                </c:pt>
                <c:pt idx="74">
                  <c:v>-4959000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76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6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F76</f>
        <v>-4959000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  <row r="42" spans="1:6">
      <c r="A42" s="6">
        <v>43859</v>
      </c>
      <c r="B42" s="2" t="s">
        <v>4</v>
      </c>
      <c r="C42" s="1">
        <f>0*240000+0*80000</f>
        <v>0</v>
      </c>
      <c r="D42" s="1">
        <f>Table1[[#This Row],[Bet Value]] + D41</f>
        <v>7920000</v>
      </c>
      <c r="E42" s="1">
        <f>0+0</f>
        <v>0</v>
      </c>
      <c r="F42" s="1">
        <f>F41+Table1[[#This Row],[Change]]</f>
        <v>-3867000</v>
      </c>
    </row>
    <row r="43" spans="1:6">
      <c r="A43" s="6">
        <v>43863</v>
      </c>
      <c r="B43" s="2" t="s">
        <v>4</v>
      </c>
      <c r="C43" s="1">
        <f>0*240000+0*80000</f>
        <v>0</v>
      </c>
      <c r="D43" s="1">
        <f>Table1[[#This Row],[Bet Value]] + D42</f>
        <v>7920000</v>
      </c>
      <c r="E43" s="1">
        <f>0+0</f>
        <v>0</v>
      </c>
      <c r="F43" s="1">
        <f>F42+Table1[[#This Row],[Change]]</f>
        <v>-3867000</v>
      </c>
    </row>
    <row r="44" spans="1:6">
      <c r="A44" s="6">
        <v>43866</v>
      </c>
      <c r="B44" s="2" t="s">
        <v>4</v>
      </c>
      <c r="C44" s="1">
        <f>0*240000+0*80000</f>
        <v>0</v>
      </c>
      <c r="D44" s="1">
        <f>Table1[[#This Row],[Bet Value]] + D43</f>
        <v>7920000</v>
      </c>
      <c r="E44" s="1">
        <f>0+0</f>
        <v>0</v>
      </c>
      <c r="F44" s="1">
        <f>F43+Table1[[#This Row],[Change]]</f>
        <v>-3867000</v>
      </c>
    </row>
    <row r="45" spans="1:6">
      <c r="A45" s="6">
        <v>43869</v>
      </c>
      <c r="B45" s="2" t="s">
        <v>8</v>
      </c>
      <c r="C45" s="1">
        <f>1*240000+1*80000</f>
        <v>320000</v>
      </c>
      <c r="D45" s="1">
        <f>Table1[[#This Row],[Bet Value]] + D44</f>
        <v>8240000</v>
      </c>
      <c r="E45" s="1">
        <f>-320000+32000</f>
        <v>-288000</v>
      </c>
      <c r="F45" s="1">
        <f>F44+Table1[[#This Row],[Change]]</f>
        <v>-4155000</v>
      </c>
    </row>
    <row r="46" spans="1:6">
      <c r="A46" s="6">
        <v>43873</v>
      </c>
      <c r="B46" s="2" t="s">
        <v>8</v>
      </c>
      <c r="C46" s="1">
        <f>1*240000+0*80000</f>
        <v>240000</v>
      </c>
      <c r="D46" s="1">
        <f>Table1[[#This Row],[Bet Value]] + D45</f>
        <v>8480000</v>
      </c>
      <c r="E46" s="1">
        <f>-240000+24000</f>
        <v>-216000</v>
      </c>
      <c r="F46" s="1">
        <f>F45+Table1[[#This Row],[Change]]</f>
        <v>-4371000</v>
      </c>
    </row>
    <row r="47" spans="1:6">
      <c r="A47" s="6">
        <v>43877</v>
      </c>
      <c r="B47" s="2" t="s">
        <v>8</v>
      </c>
      <c r="C47" s="1">
        <f>0*240000+0*80000</f>
        <v>0</v>
      </c>
      <c r="D47" s="1">
        <f>Table1[[#This Row],[Bet Value]] + D46</f>
        <v>8480000</v>
      </c>
      <c r="E47" s="1">
        <f>0</f>
        <v>0</v>
      </c>
      <c r="F47" s="1">
        <f>F46+Table1[[#This Row],[Change]]</f>
        <v>-4371000</v>
      </c>
    </row>
    <row r="48" spans="1:6">
      <c r="A48" s="6">
        <v>43880</v>
      </c>
      <c r="B48" s="2" t="s">
        <v>9</v>
      </c>
      <c r="C48" s="1">
        <f>1*240000+0*80000</f>
        <v>240000</v>
      </c>
      <c r="D48" s="1">
        <f>Table1[[#This Row],[Bet Value]] + D47</f>
        <v>8720000</v>
      </c>
      <c r="E48" s="1">
        <f>66000+0</f>
        <v>66000</v>
      </c>
      <c r="F48" s="1">
        <f>F47+Table1[[#This Row],[Change]]</f>
        <v>-4305000</v>
      </c>
    </row>
    <row r="49" spans="1:6">
      <c r="A49" s="6">
        <v>43884</v>
      </c>
      <c r="B49" s="2" t="s">
        <v>13</v>
      </c>
      <c r="C49" s="1">
        <f>1*240000+0*80000</f>
        <v>240000</v>
      </c>
      <c r="D49" s="1">
        <f>Table1[[#This Row],[Bet Value]] + D48</f>
        <v>8960000</v>
      </c>
      <c r="E49" s="1">
        <f>1260000+0</f>
        <v>1260000</v>
      </c>
      <c r="F49" s="1">
        <f>F48+Table1[[#This Row],[Change]]</f>
        <v>-3045000</v>
      </c>
    </row>
    <row r="50" spans="1:6">
      <c r="A50" s="6">
        <v>43887</v>
      </c>
      <c r="B50" s="2" t="s">
        <v>10</v>
      </c>
      <c r="C50" s="1">
        <f>2*240000+2*80000</f>
        <v>640000</v>
      </c>
      <c r="D50" s="1">
        <f>Table1[[#This Row],[Bet Value]] + D49</f>
        <v>9600000</v>
      </c>
      <c r="E50" s="1">
        <f>-640000+64000</f>
        <v>-576000</v>
      </c>
      <c r="F50" s="1">
        <f>F49+Table1[[#This Row],[Change]]</f>
        <v>-3621000</v>
      </c>
    </row>
    <row r="51" spans="1:6">
      <c r="A51" s="6">
        <v>43891</v>
      </c>
      <c r="B51" s="2" t="s">
        <v>8</v>
      </c>
      <c r="C51" s="1">
        <f>1*240000+1*80000</f>
        <v>320000</v>
      </c>
      <c r="D51" s="1">
        <f>Table1[[#This Row],[Bet Value]] + D50</f>
        <v>9920000</v>
      </c>
      <c r="E51" s="1">
        <f>-320000+32000</f>
        <v>-288000</v>
      </c>
      <c r="F51" s="1">
        <f>F50+Table1[[#This Row],[Change]]</f>
        <v>-3909000</v>
      </c>
    </row>
    <row r="52" spans="1:6">
      <c r="A52" s="6">
        <v>43894</v>
      </c>
      <c r="B52" s="2" t="s">
        <v>4</v>
      </c>
      <c r="C52" s="1">
        <f>0*240000+0*80000</f>
        <v>0</v>
      </c>
      <c r="D52" s="1">
        <f>Table1[[#This Row],[Bet Value]] + D51</f>
        <v>9920000</v>
      </c>
      <c r="E52" s="1">
        <f>0</f>
        <v>0</v>
      </c>
      <c r="F52" s="1">
        <f>F51+Table1[[#This Row],[Change]]</f>
        <v>-3909000</v>
      </c>
    </row>
    <row r="53" spans="1:6">
      <c r="A53" s="6">
        <v>43898</v>
      </c>
      <c r="B53" s="2" t="s">
        <v>8</v>
      </c>
      <c r="C53" s="1">
        <f>1*240000+0*80000</f>
        <v>240000</v>
      </c>
      <c r="D53" s="1">
        <f>Table1[[#This Row],[Bet Value]] + D52</f>
        <v>10160000</v>
      </c>
      <c r="E53" s="1">
        <f>-240000+24000</f>
        <v>-216000</v>
      </c>
      <c r="F53" s="1">
        <f>F52+Table1[[#This Row],[Change]]</f>
        <v>-4125000</v>
      </c>
    </row>
    <row r="54" spans="1:6">
      <c r="A54" s="6">
        <v>43901</v>
      </c>
      <c r="B54" s="2" t="s">
        <v>4</v>
      </c>
      <c r="C54" s="1">
        <f>0*240000+0*80000</f>
        <v>0</v>
      </c>
      <c r="D54" s="1">
        <f>Table1[[#This Row],[Bet Value]] + D53</f>
        <v>10160000</v>
      </c>
      <c r="E54" s="1">
        <f>0</f>
        <v>0</v>
      </c>
      <c r="F54" s="1">
        <f>F53+Table1[[#This Row],[Change]]</f>
        <v>-4125000</v>
      </c>
    </row>
    <row r="55" spans="1:6">
      <c r="A55" s="6">
        <v>43904</v>
      </c>
      <c r="B55" s="2" t="s">
        <v>9</v>
      </c>
      <c r="C55" s="1">
        <f>1*240000+0*80000</f>
        <v>240000</v>
      </c>
      <c r="D55" s="1">
        <f>Table1[[#This Row],[Bet Value]] + D54</f>
        <v>10400000</v>
      </c>
      <c r="E55" s="1">
        <f>66000+0</f>
        <v>66000</v>
      </c>
      <c r="F55" s="1">
        <f>F54+Table1[[#This Row],[Change]]</f>
        <v>-4059000</v>
      </c>
    </row>
    <row r="56" spans="1:6">
      <c r="A56" s="6">
        <v>43908</v>
      </c>
      <c r="B56" s="2" t="s">
        <v>9</v>
      </c>
      <c r="C56" s="1">
        <f>1*240000+0*80000</f>
        <v>240000</v>
      </c>
      <c r="D56" s="1">
        <f>Table1[[#This Row],[Bet Value]] + D55</f>
        <v>10640000</v>
      </c>
      <c r="E56" s="1">
        <f>93000+0</f>
        <v>93000</v>
      </c>
      <c r="F56" s="1">
        <f>F55+Table1[[#This Row],[Change]]</f>
        <v>-3966000</v>
      </c>
    </row>
    <row r="57" spans="1:6">
      <c r="A57" s="6">
        <v>43912</v>
      </c>
      <c r="B57" s="2" t="s">
        <v>4</v>
      </c>
      <c r="C57" s="1">
        <f>0*240000+0*80000</f>
        <v>0</v>
      </c>
      <c r="D57" s="1">
        <f>Table1[[#This Row],[Bet Value]] + D56</f>
        <v>10640000</v>
      </c>
      <c r="E57" s="1">
        <f>0+0</f>
        <v>0</v>
      </c>
      <c r="F57" s="1">
        <f>F56+Table1[[#This Row],[Change]]</f>
        <v>-3966000</v>
      </c>
    </row>
    <row r="58" spans="1:6">
      <c r="A58" s="6">
        <v>43915</v>
      </c>
      <c r="B58" s="2" t="s">
        <v>4</v>
      </c>
      <c r="C58" s="1">
        <f>0*240000+0*80000</f>
        <v>0</v>
      </c>
      <c r="D58" s="1">
        <f>Table1[[#This Row],[Bet Value]] + D57</f>
        <v>10640000</v>
      </c>
      <c r="E58" s="1">
        <f>0+0</f>
        <v>0</v>
      </c>
      <c r="F58" s="1">
        <f>F57+Table1[[#This Row],[Change]]</f>
        <v>-3966000</v>
      </c>
    </row>
    <row r="59" spans="1:6">
      <c r="A59" s="6">
        <v>43919</v>
      </c>
      <c r="B59" s="2" t="s">
        <v>8</v>
      </c>
      <c r="C59" s="1">
        <f>1*240000+0*80000</f>
        <v>240000</v>
      </c>
      <c r="D59" s="1">
        <f>Table1[[#This Row],[Bet Value]] + D58</f>
        <v>10880000</v>
      </c>
      <c r="E59" s="1">
        <f>-240000+24000</f>
        <v>-216000</v>
      </c>
      <c r="F59" s="1">
        <f>F58+Table1[[#This Row],[Change]]</f>
        <v>-4182000</v>
      </c>
    </row>
    <row r="60" spans="1:6">
      <c r="A60" s="6">
        <v>43922</v>
      </c>
      <c r="B60" s="2" t="s">
        <v>8</v>
      </c>
      <c r="C60" s="1">
        <f>1*240000+0*80000</f>
        <v>240000</v>
      </c>
      <c r="D60" s="1">
        <f>Table1[[#This Row],[Bet Value]] + D59</f>
        <v>11120000</v>
      </c>
      <c r="E60" s="1">
        <f>-240000+24000</f>
        <v>-216000</v>
      </c>
      <c r="F60" s="1">
        <f>F59+Table1[[#This Row],[Change]]</f>
        <v>-4398000</v>
      </c>
    </row>
    <row r="61" spans="1:6">
      <c r="A61" s="6">
        <v>43926</v>
      </c>
      <c r="B61" s="2" t="s">
        <v>4</v>
      </c>
      <c r="C61" s="1">
        <f>0*240000+0*80000</f>
        <v>0</v>
      </c>
      <c r="D61" s="1">
        <f>Table1[[#This Row],[Bet Value]] + D60</f>
        <v>11120000</v>
      </c>
      <c r="E61" s="1">
        <f>0</f>
        <v>0</v>
      </c>
      <c r="F61" s="1">
        <f>F60+Table1[[#This Row],[Change]]</f>
        <v>-4398000</v>
      </c>
    </row>
    <row r="62" spans="1:6">
      <c r="A62" s="6">
        <v>43929</v>
      </c>
      <c r="B62" s="2" t="s">
        <v>4</v>
      </c>
      <c r="C62" s="1">
        <f>0*240000+0*80000</f>
        <v>0</v>
      </c>
      <c r="D62" s="1">
        <f>Table1[[#This Row],[Bet Value]] + D61</f>
        <v>11120000</v>
      </c>
      <c r="E62" s="1">
        <f>0</f>
        <v>0</v>
      </c>
      <c r="F62" s="1">
        <f>F61+Table1[[#This Row],[Change]]</f>
        <v>-4398000</v>
      </c>
    </row>
    <row r="63" spans="1:6">
      <c r="A63" s="6">
        <v>43933</v>
      </c>
      <c r="B63" s="2" t="s">
        <v>9</v>
      </c>
      <c r="C63" s="1">
        <f>1*240000+0*80000</f>
        <v>240000</v>
      </c>
      <c r="D63" s="1">
        <f>Table1[[#This Row],[Bet Value]] + D62</f>
        <v>11360000</v>
      </c>
      <c r="E63" s="1">
        <f>129000</f>
        <v>129000</v>
      </c>
      <c r="F63" s="1">
        <f>F62+Table1[[#This Row],[Change]]</f>
        <v>-4269000</v>
      </c>
    </row>
    <row r="64" spans="1:6">
      <c r="A64" s="6">
        <v>43936</v>
      </c>
      <c r="B64" s="2" t="s">
        <v>8</v>
      </c>
      <c r="C64" s="1">
        <f>1*240000+0*80000</f>
        <v>240000</v>
      </c>
      <c r="D64" s="1">
        <f>Table1[[#This Row],[Bet Value]] + D63</f>
        <v>11600000</v>
      </c>
      <c r="E64" s="1">
        <f>-240000+24000</f>
        <v>-216000</v>
      </c>
      <c r="F64" s="1">
        <f>F63+Table1[[#This Row],[Change]]</f>
        <v>-4485000</v>
      </c>
    </row>
    <row r="65" spans="1:6">
      <c r="A65" s="6">
        <v>43940</v>
      </c>
      <c r="B65" s="2" t="s">
        <v>8</v>
      </c>
      <c r="C65" s="1">
        <f>1*240000+0*80000</f>
        <v>240000</v>
      </c>
      <c r="D65" s="1">
        <f>Table1[[#This Row],[Bet Value]] + D64</f>
        <v>11840000</v>
      </c>
      <c r="E65" s="1">
        <f>-240000+24000</f>
        <v>-216000</v>
      </c>
      <c r="F65" s="1">
        <f>F64+Table1[[#This Row],[Change]]</f>
        <v>-4701000</v>
      </c>
    </row>
    <row r="66" spans="1:6">
      <c r="A66" s="6">
        <v>43943</v>
      </c>
      <c r="B66" s="2" t="s">
        <v>8</v>
      </c>
      <c r="C66" s="1">
        <f>1*240000+0*80000</f>
        <v>240000</v>
      </c>
      <c r="D66" s="1">
        <f>Table1[[#This Row],[Bet Value]] + D65</f>
        <v>12080000</v>
      </c>
      <c r="E66" s="1">
        <f>-240000+24000</f>
        <v>-216000</v>
      </c>
      <c r="F66" s="1">
        <f>F65+Table1[[#This Row],[Change]]</f>
        <v>-4917000</v>
      </c>
    </row>
    <row r="67" spans="1:6">
      <c r="A67" s="6">
        <v>43947</v>
      </c>
      <c r="B67" s="2" t="s">
        <v>13</v>
      </c>
      <c r="C67" s="1">
        <f>1*240000+0*80000</f>
        <v>240000</v>
      </c>
      <c r="D67" s="1">
        <f>Table1[[#This Row],[Bet Value]] + D66</f>
        <v>12320000</v>
      </c>
      <c r="E67" s="1">
        <f>594000+0</f>
        <v>594000</v>
      </c>
      <c r="F67" s="1">
        <f>F66+Table1[[#This Row],[Change]]</f>
        <v>-4323000</v>
      </c>
    </row>
    <row r="68" spans="1:6">
      <c r="A68" s="6">
        <v>43950</v>
      </c>
      <c r="B68" s="2" t="s">
        <v>4</v>
      </c>
      <c r="C68" s="1">
        <f>0*240000+0*80000</f>
        <v>0</v>
      </c>
      <c r="D68" s="1">
        <f>Table1[[#This Row],[Bet Value]] + D67</f>
        <v>12320000</v>
      </c>
      <c r="E68" s="1">
        <f>0+0</f>
        <v>0</v>
      </c>
      <c r="F68" s="1">
        <f>F67+Table1[[#This Row],[Change]]</f>
        <v>-4323000</v>
      </c>
    </row>
    <row r="69" spans="1:6">
      <c r="A69" s="6">
        <v>43954</v>
      </c>
      <c r="B69" s="2" t="s">
        <v>11</v>
      </c>
      <c r="C69" s="1">
        <f>2*240000+0*80000</f>
        <v>480000</v>
      </c>
      <c r="D69" s="1">
        <f>Table1[[#This Row],[Bet Value]] + D68</f>
        <v>12800000</v>
      </c>
      <c r="E69" s="1">
        <f>-12000+24000</f>
        <v>12000</v>
      </c>
      <c r="F69" s="1">
        <f>F68+Table1[[#This Row],[Change]]</f>
        <v>-4311000</v>
      </c>
    </row>
    <row r="70" spans="1:6">
      <c r="A70" s="6">
        <v>43957</v>
      </c>
      <c r="B70" s="2" t="s">
        <v>8</v>
      </c>
      <c r="C70" s="1">
        <f>1*240000+0*80000</f>
        <v>240000</v>
      </c>
      <c r="D70" s="1">
        <f>Table1[[#This Row],[Bet Value]] + D69</f>
        <v>13040000</v>
      </c>
      <c r="E70" s="1">
        <f>-240000+24000</f>
        <v>-216000</v>
      </c>
      <c r="F70" s="1">
        <f>F69+Table1[[#This Row],[Change]]</f>
        <v>-4527000</v>
      </c>
    </row>
    <row r="71" spans="1:6">
      <c r="A71" s="6">
        <v>43960</v>
      </c>
      <c r="B71" s="2" t="s">
        <v>4</v>
      </c>
      <c r="C71" s="1">
        <f>0*240000+0*80000</f>
        <v>0</v>
      </c>
      <c r="D71" s="1">
        <f>Table1[[#This Row],[Bet Value]] + D70</f>
        <v>13040000</v>
      </c>
      <c r="E71" s="1">
        <f>0</f>
        <v>0</v>
      </c>
      <c r="F71" s="1">
        <f>F70+Table1[[#This Row],[Change]]</f>
        <v>-4527000</v>
      </c>
    </row>
    <row r="72" spans="1:6">
      <c r="A72" s="6">
        <v>43964</v>
      </c>
      <c r="B72" s="2" t="s">
        <v>8</v>
      </c>
      <c r="C72" s="1">
        <f>1*240000+0*80000</f>
        <v>240000</v>
      </c>
      <c r="D72" s="1">
        <f>Table1[[#This Row],[Bet Value]] + D71</f>
        <v>13280000</v>
      </c>
      <c r="E72" s="1">
        <f>-240000+24000</f>
        <v>-216000</v>
      </c>
      <c r="F72" s="1">
        <f>F71+Table1[[#This Row],[Change]]</f>
        <v>-4743000</v>
      </c>
    </row>
    <row r="73" spans="1:6">
      <c r="A73" s="6">
        <v>43968</v>
      </c>
      <c r="B73" s="2" t="s">
        <v>8</v>
      </c>
      <c r="C73" s="1">
        <f>1*240000+0*80000</f>
        <v>240000</v>
      </c>
      <c r="D73" s="1">
        <f>Table1[[#This Row],[Bet Value]] + D72</f>
        <v>13520000</v>
      </c>
      <c r="E73" s="1">
        <f>-240000+24000</f>
        <v>-216000</v>
      </c>
      <c r="F73" s="1">
        <f>F72+Table1[[#This Row],[Change]]</f>
        <v>-4959000</v>
      </c>
    </row>
    <row r="74" spans="1:6">
      <c r="A74" s="6">
        <v>43971</v>
      </c>
      <c r="B74" s="2" t="s">
        <v>4</v>
      </c>
      <c r="C74" s="1">
        <f>0*240000+0*80000</f>
        <v>0</v>
      </c>
      <c r="D74" s="1">
        <f>Table1[[#This Row],[Bet Value]] + D73</f>
        <v>13520000</v>
      </c>
      <c r="E74" s="1">
        <f>0</f>
        <v>0</v>
      </c>
      <c r="F74" s="1">
        <f>F73+Table1[[#This Row],[Change]]</f>
        <v>-4959000</v>
      </c>
    </row>
    <row r="75" spans="1:6">
      <c r="A75" s="6">
        <v>43975</v>
      </c>
      <c r="B75" s="2" t="s">
        <v>4</v>
      </c>
      <c r="C75" s="1">
        <f>0*240000+0*80000</f>
        <v>0</v>
      </c>
      <c r="D75" s="1">
        <f>Table1[[#This Row],[Bet Value]] + D74</f>
        <v>13520000</v>
      </c>
      <c r="E75" s="1">
        <f>0</f>
        <v>0</v>
      </c>
      <c r="F75" s="1">
        <f>F74+Table1[[#This Row],[Change]]</f>
        <v>-4959000</v>
      </c>
    </row>
    <row r="76" spans="1:6">
      <c r="A76" s="6">
        <v>43978</v>
      </c>
      <c r="B76" s="2" t="s">
        <v>4</v>
      </c>
      <c r="C76" s="1">
        <f>0*240000+0*80000</f>
        <v>0</v>
      </c>
      <c r="D76" s="1">
        <f>Table1[[#This Row],[Bet Value]] + D75</f>
        <v>13520000</v>
      </c>
      <c r="E76" s="1">
        <f>0</f>
        <v>0</v>
      </c>
      <c r="F76" s="1">
        <f>F75+Table1[[#This Row],[Change]]</f>
        <v>-4959000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2020-05-28T08:13:19Z</dcterms:modified>
</cp:coreProperties>
</file>