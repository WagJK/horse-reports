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83" documentId="114_{930F4E79-2B0A-4A9E-B21C-0DA94299132F}" xr6:coauthVersionLast="45" xr6:coauthVersionMax="45" xr10:uidLastSave="{D7138105-63BC-4129-B8C9-31D470C2E3E3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89" i="1"/>
  <c r="C89" i="1"/>
  <c r="E88" i="1" l="1"/>
  <c r="C88" i="1"/>
  <c r="E87" i="1" l="1"/>
  <c r="C87" i="1"/>
  <c r="E86" i="1" l="1"/>
  <c r="C86" i="1"/>
  <c r="E85" i="1" l="1"/>
  <c r="C85" i="1"/>
  <c r="E84" i="1" l="1"/>
  <c r="C84" i="1"/>
  <c r="E83" i="1" l="1"/>
  <c r="C83" i="1"/>
  <c r="E82" i="1" l="1"/>
  <c r="C82" i="1"/>
  <c r="C81" i="1" l="1"/>
  <c r="E81" i="1"/>
  <c r="E80" i="1" l="1"/>
  <c r="C80" i="1"/>
  <c r="E79" i="1" l="1"/>
  <c r="C79" i="1"/>
  <c r="E78" i="1" l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  <c r="F84" i="1" l="1"/>
  <c r="F85" i="1" l="1"/>
  <c r="F86" i="1" l="1"/>
  <c r="F87" i="1" l="1"/>
  <c r="F88" i="1" l="1"/>
  <c r="F8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A6F30947-9330-46E7-9657-62514C4BB8FB}" keepAlive="1" name="Query - Data Base (2018-2019) (2)" description="Connection to the 'Data Base (2018-2019) (2)' query in the workbook." type="5" refreshedVersion="6" background="1">
    <dbPr connection="Provider=Microsoft.Mashup.OleDb.1;Data Source=$Workbook$;Location=&quot;Data Base (2018-2019) (2)&quot;;Extended Properties=&quot;&quot;" command="SELECT * FROM [Data Base (2018-2019) (2)]"/>
  </connection>
  <connection id="3" xr16:uid="{67440029-3A7A-4108-B465-952A5EB631F5}" keepAlive="1" name="Query - Data Base (2018-2019) (3)" description="Connection to the 'Data Base (2018-2019) (3)' query in the workbook." type="5" refreshedVersion="6" background="1" saveData="1">
    <dbPr connection="Provider=Microsoft.Mashup.OleDb.1;Data Source=$Workbook$;Location=&quot;Data Base (2018-2019) (3)&quot;;Extended Properties=&quot;&quot;" command="SELECT * FROM [Data Base (2018-2019) (3)]"/>
  </connection>
  <connection id="4" xr16:uid="{50323E53-FF7A-4C84-A7B5-5ADC6E534C7B}" keepAlive="1" name="Query - Data Base (2018-2019) (4)" description="Connection to the 'Data Base (2018-2019) (4)' query in the workbook." type="5" refreshedVersion="6" background="1" saveData="1">
    <dbPr connection="Provider=Microsoft.Mashup.OleDb.1;Data Source=$Workbook$;Location=&quot;Data Base (2018-2019) (4)&quot;;Extended Properties=&quot;&quot;" command="SELECT * FROM [Data Base (2018-2019) (4)]"/>
  </connection>
  <connection id="5" xr16:uid="{C8A5CCB0-02E6-48D9-AA04-251A51262F96}" keepAlive="1" name="Query - Data Base (2018-2019) (5)" description="Connection to the 'Data Base (2018-2019) (5)' query in the workbook." type="5" refreshedVersion="6" background="1" saveData="1">
    <dbPr connection="Provider=Microsoft.Mashup.OleDb.1;Data Source=$Workbook$;Location=&quot;Data Base (2018-2019) (5)&quot;;Extended Properties=&quot;&quot;" command="SELECT * FROM [Data Base (2018-2019) (5)]"/>
  </connection>
  <connection id="6" xr16:uid="{B6D2D2CF-39DF-4C0A-8CD8-E34E6394797C}" keepAlive="1" name="Query - Data Base (2018-2019) (6)" description="Connection to the 'Data Base (2018-2019) (6)' query in the workbook." type="5" refreshedVersion="6" background="1" saveData="1">
    <dbPr connection="Provider=Microsoft.Mashup.OleDb.1;Data Source=$Workbook$;Location=&quot;Data Base (2018-2019) (6)&quot;;Extended Properties=&quot;&quot;" command="SELECT * FROM [Data Base (2018-2019) (6)]"/>
  </connection>
  <connection id="7" xr16:uid="{30F58F02-33F1-4B94-B79F-463FDA75AF02}" keepAlive="1" name="Query - Data Base (2018-2019) (7)" description="Connection to the 'Data Base (2018-2019) (7)' query in the workbook." type="5" refreshedVersion="6" background="1" saveData="1">
    <dbPr connection="Provider=Microsoft.Mashup.OleDb.1;Data Source=$Workbook$;Location=&quot;Data Base (2018-2019) (7)&quot;;Extended Properties=&quot;&quot;" command="SELECT * FROM [Data Base (2018-2019) (7)]"/>
  </connection>
  <connection id="8" xr16:uid="{789A6A05-CD35-4F5A-B248-64C73711D0F3}" keepAlive="1" name="Query - Data Base (2018-2019) (8)" description="Connection to the 'Data Base (2018-2019) (8)' query in the workbook." type="5" refreshedVersion="6" background="1" saveData="1">
    <dbPr connection="Provider=Microsoft.Mashup.OleDb.1;Data Source=$Workbook$;Location=&quot;Data Base (2018-2019) (8)&quot;;Extended Properties=&quot;&quot;" command="SELECT * FROM [Data Base (2018-2019) (8)]"/>
  </connection>
  <connection id="9" xr16:uid="{B966F5DB-7021-4140-80C3-2F24756EC7AA}" keepAlive="1" name="Query - Horse Report 2020-6-27" description="Connection to the 'Horse Report 2020-6-27' query in the workbook." type="5" refreshedVersion="6" background="1" saveData="1">
    <dbPr connection="Provider=Microsoft.Mashup.OleDb.1;Data Source=$Workbook$;Location=&quot;Horse Report 2020-6-27&quot;;Extended Properties=&quot;&quot;" command="SELECT * FROM [Horse Report 2020-6-27]"/>
  </connection>
  <connection id="10" xr16:uid="{64E1E7FC-EDEC-41A0-9C28-CE53E734CB32}" keepAlive="1" name="Query - Horse Report 2020-7-1" description="Connection to the 'Horse Report 2020-7-1' query in the workbook." type="5" refreshedVersion="6" background="1" saveData="1">
    <dbPr connection="Provider=Microsoft.Mashup.OleDb.1;Data Source=$Workbook$;Location=&quot;Horse Report 2020-7-1&quot;;Extended Properties=&quot;&quot;" command="SELECT * FROM [Horse Report 2020-7-1]"/>
  </connection>
  <connection id="11" xr16:uid="{0CE5F5A6-37DD-4735-B828-5219E6B6E60C}" keepAlive="1" name="Query - Horse Report 2020-7-1 (2)" description="Connection to the 'Horse Report 2020-7-1 (2)' query in the workbook." type="5" refreshedVersion="6" background="1" saveData="1">
    <dbPr connection="Provider=Microsoft.Mashup.OleDb.1;Data Source=$Workbook$;Location=&quot;Horse Report 2020-7-1 (2)&quot;;Extended Properties=&quot;&quot;" command="SELECT * FROM [Horse Report 2020-7-1 (2)]"/>
  </connection>
  <connection id="12" xr16:uid="{24A0D14D-3E57-4A79-BC81-C455153B6028}" keepAlive="1" name="Query - Horse Report 2020-7-12" description="Connection to the 'Horse Report 2020-7-12' query in the workbook." type="5" refreshedVersion="6" background="1" saveData="1">
    <dbPr connection="Provider=Microsoft.Mashup.OleDb.1;Data Source=$Workbook$;Location=&quot;Horse Report 2020-7-12&quot;;Extended Properties=&quot;&quot;" command="SELECT * FROM [Horse Report 2020-7-12]"/>
  </connection>
  <connection id="13" xr16:uid="{AF33C61D-AC30-4ABA-B616-9C6BAA977446}" keepAlive="1" name="Query - Horse Report 2020-7-15" description="Connection to the 'Horse Report 2020-7-15' query in the workbook." type="5" refreshedVersion="6" background="1" saveData="1">
    <dbPr connection="Provider=Microsoft.Mashup.OleDb.1;Data Source=$Workbook$;Location=&quot;Horse Report 2020-7-15&quot;;Extended Properties=&quot;&quot;" command="SELECT * FROM [Horse Report 2020-7-15]"/>
  </connection>
  <connection id="14" xr16:uid="{DED09F34-37B9-4749-8874-3ECB75DEF568}" keepAlive="1" name="Query - Horse Report 2020-7-5" description="Connection to the 'Horse Report 2020-7-5' query in the workbook." type="5" refreshedVersion="6" background="1" saveData="1">
    <dbPr connection="Provider=Microsoft.Mashup.OleDb.1;Data Source=$Workbook$;Location=&quot;Horse Report 2020-7-5&quot;;Extended Properties=&quot;&quot;" command="SELECT * FROM [Horse Report 2020-7-5]"/>
  </connection>
  <connection id="15" xr16:uid="{9C68D09F-1F34-4239-9F02-481D1C0F9E01}" keepAlive="1" name="Query - Horse Report 2020-7-5 (2)" description="Connection to the 'Horse Report 2020-7-5 (2)' query in the workbook." type="5" refreshedVersion="6" background="1" saveData="1">
    <dbPr connection="Provider=Microsoft.Mashup.OleDb.1;Data Source=$Workbook$;Location=&quot;Horse Report 2020-7-5 (2)&quot;;Extended Properties=&quot;&quot;" command="SELECT * FROM [Horse Report 2020-7-5 (2)]"/>
  </connection>
  <connection id="16" xr16:uid="{06B2DB3D-8DCB-44B5-9E12-75AED82FD347}" keepAlive="1" name="Query - Horse Report 2020-7-8" description="Connection to the 'Horse Report 2020-7-8' query in the workbook." type="5" refreshedVersion="6" background="1" saveData="1">
    <dbPr connection="Provider=Microsoft.Mashup.OleDb.1;Data Source=$Workbook$;Location=&quot;Horse Report 2020-7-8&quot;;Extended Properties=&quot;&quot;" command="SELECT * FROM [Horse Report 2020-7-8]"/>
  </connection>
  <connection id="17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18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<sst xmlns="http://schemas.openxmlformats.org/spreadsheetml/2006/main" count="99" uniqueCount="14">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</sst>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Fund!$A$2:$A$89</c:f>
              <c:strCache>
                <c:ptCount val="88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  <c:pt idx="77">
                  <c:v>2020/6/7</c:v>
                </c:pt>
                <c:pt idx="78">
                  <c:v>2020/6/10</c:v>
                </c:pt>
                <c:pt idx="79">
                  <c:v>2020/6/14</c:v>
                </c:pt>
                <c:pt idx="80">
                  <c:v>2020/6/21</c:v>
                </c:pt>
                <c:pt idx="81">
                  <c:v>2020/6/24</c:v>
                </c:pt>
                <c:pt idx="82">
                  <c:v>2020/6/27</c:v>
                </c:pt>
                <c:pt idx="83">
                  <c:v>2020/7/1</c:v>
                </c:pt>
                <c:pt idx="84">
                  <c:v>2020/7/5</c:v>
                </c:pt>
                <c:pt idx="85">
                  <c:v>2020/7/8</c:v>
                </c:pt>
                <c:pt idx="86">
                  <c:v>2020/7/12</c:v>
                </c:pt>
                <c:pt idx="87">
                  <c:v>2020/7/15</c:v>
                </c:pt>
              </c:strCache>
            </c:strRef>
          </c:cat>
          <c:val>
            <c:numRef>
              <c:f>Fund!$F$2:$F$89</c:f>
              <c:numCache>
                <c:formatCode>"HK$"#,##0.00_);[Red]\("HK$"#,##0.00\)</c:formatCode>
                <c:ptCount val="88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  <c:pt idx="77">
                  <c:v>-4002000</c:v>
                </c:pt>
                <c:pt idx="78">
                  <c:v>-4002000</c:v>
                </c:pt>
                <c:pt idx="79">
                  <c:v>-4002000</c:v>
                </c:pt>
                <c:pt idx="80">
                  <c:v>-4218000</c:v>
                </c:pt>
                <c:pt idx="81">
                  <c:v>-4492200</c:v>
                </c:pt>
                <c:pt idx="82">
                  <c:v>-4708200</c:v>
                </c:pt>
                <c:pt idx="83">
                  <c:v>-5140200</c:v>
                </c:pt>
                <c:pt idx="84">
                  <c:v>-5074200</c:v>
                </c:pt>
                <c:pt idx="85">
                  <c:v>-5290200</c:v>
                </c:pt>
                <c:pt idx="86">
                  <c:v>-5386200</c:v>
                </c:pt>
                <c:pt idx="87">
                  <c:v>-5962200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9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F89</f>
        <v>-5962200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  <row r="79" spans="1:6">
      <c r="A79" s="6">
        <v>43989</v>
      </c>
      <c r="B79" s="2" t="s">
        <v>13</v>
      </c>
      <c r="C79" s="1">
        <f>1*240000+0*80000</f>
        <v>240000</v>
      </c>
      <c r="D79" s="1">
        <f>Table1[[#This Row],[Bet Value]] + D78</f>
        <v>14000000</v>
      </c>
      <c r="E79" s="1">
        <f>1173000</f>
        <v>1173000</v>
      </c>
      <c r="F79" s="1">
        <f>F78+Table1[[#This Row],[Change]]</f>
        <v>-4002000</v>
      </c>
    </row>
    <row r="80" spans="1:6">
      <c r="A80" s="6">
        <v>43992</v>
      </c>
      <c r="B80" s="2" t="s">
        <v>4</v>
      </c>
      <c r="C80" s="1">
        <f>0*240000+0*80000</f>
        <v>0</v>
      </c>
      <c r="D80" s="1">
        <f>Table1[[#This Row],[Bet Value]] + D79</f>
        <v>14000000</v>
      </c>
      <c r="E80" s="1">
        <f>0</f>
        <v>0</v>
      </c>
      <c r="F80" s="1">
        <f>F79+Table1[[#This Row],[Change]]</f>
        <v>-4002000</v>
      </c>
    </row>
    <row r="81" spans="1:6">
      <c r="A81" s="6">
        <v>43996</v>
      </c>
      <c r="B81" s="2" t="s">
        <v>4</v>
      </c>
      <c r="C81" s="1">
        <f>0*240000+0*80000</f>
        <v>0</v>
      </c>
      <c r="D81" s="1">
        <f>Table1[[#This Row],[Bet Value]] + D80</f>
        <v>14000000</v>
      </c>
      <c r="E81" s="1">
        <f>0</f>
        <v>0</v>
      </c>
      <c r="F81" s="1">
        <f>F80+Table1[[#This Row],[Change]]</f>
        <v>-4002000</v>
      </c>
    </row>
    <row r="82" spans="1:6">
      <c r="A82" s="6">
        <v>44003</v>
      </c>
      <c r="B82" s="2" t="s">
        <v>8</v>
      </c>
      <c r="C82" s="1">
        <f>1*240000+0*80000</f>
        <v>240000</v>
      </c>
      <c r="D82" s="1">
        <f>Table1[[#This Row],[Bet Value]] + D81</f>
        <v>14240000</v>
      </c>
      <c r="E82" s="1">
        <f>-240000+24000</f>
        <v>-216000</v>
      </c>
      <c r="F82" s="1">
        <f>F81+Table1[[#This Row],[Change]]</f>
        <v>-4218000</v>
      </c>
    </row>
    <row r="83" spans="1:6">
      <c r="A83" s="6">
        <v>44006</v>
      </c>
      <c r="B83" s="2" t="s">
        <v>11</v>
      </c>
      <c r="C83" s="1">
        <f>2*240000+0*80000</f>
        <v>480000</v>
      </c>
      <c r="D83" s="1">
        <f>Table1[[#This Row],[Bet Value]] + D82</f>
        <v>14720000</v>
      </c>
      <c r="E83" s="1">
        <f>-298200+24000</f>
        <v>-274200</v>
      </c>
      <c r="F83" s="1">
        <f>F82+Table1[[#This Row],[Change]]</f>
        <v>-4492200</v>
      </c>
    </row>
    <row r="84" spans="1:6">
      <c r="A84" s="6">
        <v>44009</v>
      </c>
      <c r="B84" s="2" t="s">
        <v>8</v>
      </c>
      <c r="C84" s="1">
        <f>1*240000+0*80000</f>
        <v>240000</v>
      </c>
      <c r="D84" s="1">
        <f>Table1[[#This Row],[Bet Value]] + D83</f>
        <v>14960000</v>
      </c>
      <c r="E84" s="1">
        <f>-240000+24000</f>
        <v>-216000</v>
      </c>
      <c r="F84" s="1">
        <f>F83+Table1[[#This Row],[Change]]</f>
        <v>-4708200</v>
      </c>
    </row>
    <row r="85" spans="1:6">
      <c r="A85" s="6">
        <v>44013</v>
      </c>
      <c r="B85" s="2" t="s">
        <v>10</v>
      </c>
      <c r="C85" s="1">
        <f>2*240000+0*80000</f>
        <v>480000</v>
      </c>
      <c r="D85" s="1">
        <f>Table1[[#This Row],[Bet Value]] + D84</f>
        <v>15440000</v>
      </c>
      <c r="E85" s="1">
        <f>-480000+48000</f>
        <v>-432000</v>
      </c>
      <c r="F85" s="1">
        <f>F84+Table1[[#This Row],[Change]]</f>
        <v>-5140200</v>
      </c>
    </row>
    <row r="86" spans="1:6">
      <c r="A86" s="6">
        <v>44017</v>
      </c>
      <c r="B86" s="2" t="s">
        <v>11</v>
      </c>
      <c r="C86" s="1">
        <f>2*240000+0*80000</f>
        <v>480000</v>
      </c>
      <c r="D86" s="1">
        <f>Table1[[#This Row],[Bet Value]] + D85</f>
        <v>15920000</v>
      </c>
      <c r="E86" s="1">
        <f>42000+24000</f>
        <v>66000</v>
      </c>
      <c r="F86" s="1">
        <f>F85+Table1[[#This Row],[Change]]</f>
        <v>-5074200</v>
      </c>
    </row>
    <row r="87" spans="1:6">
      <c r="A87" s="6">
        <v>44020</v>
      </c>
      <c r="B87" s="2" t="s">
        <v>8</v>
      </c>
      <c r="C87" s="1">
        <f>1*240000+0*80000</f>
        <v>240000</v>
      </c>
      <c r="D87" s="1">
        <f>Table1[[#This Row],[Bet Value]] + D86</f>
        <v>16160000</v>
      </c>
      <c r="E87" s="1">
        <f>-240000+24000</f>
        <v>-216000</v>
      </c>
      <c r="F87" s="1">
        <f>F86+Table1[[#This Row],[Change]]</f>
        <v>-5290200</v>
      </c>
    </row>
    <row r="88" spans="1:6">
      <c r="A88" s="6">
        <v>44024</v>
      </c>
      <c r="B88" s="2" t="s">
        <v>11</v>
      </c>
      <c r="C88" s="1">
        <f>2*240000+1*80000</f>
        <v>560000</v>
      </c>
      <c r="D88" s="1">
        <f>Table1[[#This Row],[Bet Value]] + D87</f>
        <v>16720000</v>
      </c>
      <c r="E88" s="1">
        <f>-128000+32000</f>
        <v>-96000</v>
      </c>
      <c r="F88" s="1">
        <f>F87+Table1[[#This Row],[Change]]</f>
        <v>-5386200</v>
      </c>
    </row>
    <row r="89" spans="1:6">
      <c r="A89" s="6">
        <v>44027</v>
      </c>
      <c r="B89" s="2" t="s">
        <v>10</v>
      </c>
      <c r="C89" s="1">
        <f>2*240000+2*80000</f>
        <v>640000</v>
      </c>
      <c r="D89" s="1">
        <f>Table1[[#This Row],[Bet Value]] + D88</f>
        <v>17360000</v>
      </c>
      <c r="E89" s="1">
        <f>-640000+64000</f>
        <v>-576000</v>
      </c>
      <c r="F89" s="1">
        <f>F88+Table1[[#This Row],[Change]]</f>
        <v>-5962200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2020-07-16T10:06:53Z</dcterms:modified>
</cp:coreProperties>
</file>